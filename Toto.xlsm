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ick\Desktop\toto scraper\"/>
    </mc:Choice>
  </mc:AlternateContent>
  <xr:revisionPtr revIDLastSave="0" documentId="13_ncr:1_{388FF467-F83E-4AB5-997E-667218EB188F}" xr6:coauthVersionLast="47" xr6:coauthVersionMax="47" xr10:uidLastSave="{00000000-0000-0000-0000-000000000000}"/>
  <bookViews>
    <workbookView xWindow="-120" yWindow="-120" windowWidth="38640" windowHeight="21240" tabRatio="469" activeTab="1" xr2:uid="{00000000-000D-0000-FFFF-FFFF00000000}"/>
  </bookViews>
  <sheets>
    <sheet name="Import" sheetId="3" r:id="rId1"/>
    <sheet name="Analysis" sheetId="2" r:id="rId2"/>
  </sheets>
  <definedNames>
    <definedName name="ExternalData_1" localSheetId="0">Import!$A$1:$H$11</definedName>
    <definedName name="ExternalData_10" localSheetId="0">Import!$A$1:$H$11</definedName>
    <definedName name="ExternalData_11" localSheetId="0">Import!$A$1:$H$11</definedName>
    <definedName name="ExternalData_12" localSheetId="0">Import!$A$1:$H$11</definedName>
    <definedName name="ExternalData_13" localSheetId="0">Import!$A$1:$H$11</definedName>
    <definedName name="ExternalData_14" localSheetId="0">Import!$A$1:$H$11</definedName>
    <definedName name="ExternalData_15" localSheetId="0">Import!$A$1:$H$11</definedName>
    <definedName name="ExternalData_16" localSheetId="0">Import!$A$1:$H$11</definedName>
    <definedName name="ExternalData_17" localSheetId="0">Import!$A$1:$H$11</definedName>
    <definedName name="ExternalData_2" localSheetId="0">Import!$A$1:$H$11</definedName>
    <definedName name="ExternalData_3" localSheetId="0">Import!$A$1:$H$11</definedName>
    <definedName name="ExternalData_4" localSheetId="0">Import!$A$1:$H$11</definedName>
    <definedName name="ExternalData_5" localSheetId="0">Import!$A$1:$H$11</definedName>
    <definedName name="ExternalData_6" localSheetId="0">Import!$A$1:$H$11</definedName>
    <definedName name="ExternalData_7" localSheetId="0">Import!$A$1:$H$11</definedName>
    <definedName name="ExternalData_8" localSheetId="0">Import!$A$1:$H$11</definedName>
    <definedName name="ExternalData_9" localSheetId="0">Import!$A$1:$H$11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" i="2" l="1"/>
  <c r="P1" i="2" s="1"/>
  <c r="K10" i="2" l="1"/>
  <c r="K15" i="2"/>
  <c r="K22" i="2"/>
  <c r="K14" i="2"/>
  <c r="K37" i="2"/>
  <c r="K31" i="2"/>
  <c r="K5" i="2"/>
  <c r="K12" i="2"/>
  <c r="K45" i="2"/>
  <c r="K48" i="2"/>
  <c r="K26" i="2"/>
  <c r="K25" i="2"/>
  <c r="K3" i="2"/>
  <c r="K4" i="2"/>
  <c r="K18" i="2"/>
  <c r="K49" i="2"/>
  <c r="K24" i="2"/>
  <c r="K34" i="2"/>
  <c r="K9" i="2"/>
  <c r="K17" i="2"/>
  <c r="K21" i="2"/>
  <c r="K50" i="2"/>
  <c r="K40" i="2"/>
  <c r="K32" i="2"/>
  <c r="K20" i="2"/>
  <c r="K43" i="2"/>
  <c r="K7" i="2"/>
  <c r="K29" i="2"/>
  <c r="K28" i="2"/>
  <c r="K41" i="2"/>
  <c r="K36" i="2"/>
  <c r="K35" i="2"/>
  <c r="K16" i="2"/>
  <c r="K8" i="2"/>
  <c r="K30" i="2"/>
  <c r="K2" i="2"/>
  <c r="K42" i="2"/>
  <c r="K38" i="2"/>
  <c r="K44" i="2"/>
  <c r="K13" i="2"/>
  <c r="K6" i="2"/>
  <c r="K19" i="2"/>
  <c r="K11" i="2"/>
  <c r="K46" i="2"/>
  <c r="K47" i="2"/>
  <c r="K39" i="2"/>
  <c r="K23" i="2"/>
  <c r="K33" i="2"/>
  <c r="K27" i="2"/>
  <c r="L27" i="2" l="1"/>
  <c r="L37" i="2"/>
  <c r="L33" i="2"/>
  <c r="L50" i="2"/>
  <c r="L8" i="2"/>
  <c r="L31" i="2"/>
  <c r="L3" i="2"/>
  <c r="L40" i="2"/>
  <c r="L30" i="2"/>
  <c r="L5" i="2"/>
  <c r="L4" i="2"/>
  <c r="L32" i="2"/>
  <c r="L42" i="2"/>
  <c r="L12" i="2"/>
  <c r="L18" i="2"/>
  <c r="L11" i="2"/>
  <c r="L38" i="2"/>
  <c r="L49" i="2"/>
  <c r="L29" i="2"/>
  <c r="L20" i="2"/>
  <c r="L44" i="2"/>
  <c r="L13" i="2"/>
  <c r="L23" i="2"/>
  <c r="L43" i="2"/>
  <c r="L6" i="2"/>
  <c r="L14" i="2"/>
  <c r="L24" i="2"/>
  <c r="L7" i="2"/>
  <c r="L19" i="2"/>
  <c r="L45" i="2"/>
  <c r="L34" i="2"/>
  <c r="L46" i="2"/>
  <c r="L47" i="2"/>
  <c r="L48" i="2"/>
  <c r="L9" i="2"/>
  <c r="L28" i="2"/>
  <c r="L39" i="2"/>
  <c r="L26" i="2"/>
  <c r="L17" i="2"/>
  <c r="L41" i="2"/>
  <c r="L10" i="2"/>
  <c r="L25" i="2"/>
  <c r="L35" i="2"/>
  <c r="L2" i="2"/>
  <c r="L15" i="2"/>
  <c r="L36" i="2"/>
  <c r="L21" i="2"/>
  <c r="L16" i="2"/>
  <c r="L22" i="2"/>
  <c r="U8" i="2" l="1"/>
  <c r="T8" i="2"/>
  <c r="S8" i="2"/>
  <c r="R8" i="2"/>
  <c r="Q8" i="2"/>
  <c r="P8" i="2"/>
  <c r="O8" i="2"/>
  <c r="U4" i="2"/>
  <c r="T4" i="2"/>
  <c r="S4" i="2"/>
  <c r="R4" i="2"/>
  <c r="Q4" i="2"/>
  <c r="P4" i="2"/>
  <c r="O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E95CD5-4898-44E4-80AC-65015D099023}" name="toto" type="6" refreshedVersion="8" background="1" saveData="1">
    <textPr prompt="0" sourceFile="C:\Users\stick\Desktop\toto.csv" comma="1">
      <textFields>
        <textField/>
      </textFields>
    </textPr>
  </connection>
  <connection id="2" xr16:uid="{D32D3703-209A-4232-95A1-13F161836984}" name="toto_draws" type="6" refreshedVersion="8" background="1" saveData="1">
    <textPr prompt="0" sourceFile="C:\Users\stick\Desktop\toto_draws.csv" comma="1">
      <textFields>
        <textField/>
      </textFields>
    </textPr>
  </connection>
  <connection id="3" xr16:uid="{ED2AAB0C-0B0C-4101-9BDF-B7CBD29EA501}" name="toto_draws1" type="6" refreshedVersion="8" background="1" saveData="1">
    <textPr prompt="0" sourceFile="C:\Users\stick\Desktop\toto_draws.csv" comma="1">
      <textFields>
        <textField/>
      </textFields>
    </textPr>
  </connection>
  <connection id="4" xr16:uid="{A13583E2-8363-4376-8418-1493CB3C258C}" name="toto_draws10" type="6" refreshedVersion="8" background="1" saveData="1">
    <textPr prompt="0" sourceFile="C:\Users\stick\Desktop\toto_draws.csv" comma="1">
      <textFields>
        <textField/>
      </textFields>
    </textPr>
  </connection>
  <connection id="5" xr16:uid="{B58807C4-4C10-4D97-B6AB-48232E0CDC09}" name="toto_draws11" type="6" refreshedVersion="8" background="1" saveData="1">
    <textPr prompt="0" sourceFile="C:\Users\stick\Desktop\toto_draws.csv" comma="1">
      <textFields>
        <textField/>
      </textFields>
    </textPr>
  </connection>
  <connection id="6" xr16:uid="{17CF9EEC-46DE-400D-9C2F-1EA0103E4544}" name="toto_draws12" type="6" refreshedVersion="8" background="1" saveData="1">
    <textPr prompt="0" sourceFile="C:\Users\stick\Desktop\toto_draws.csv" comma="1">
      <textFields>
        <textField/>
      </textFields>
    </textPr>
  </connection>
  <connection id="7" xr16:uid="{57C832FD-9B4A-470D-AB4B-C8BF5EAF3DFD}" name="toto_draws13" type="6" refreshedVersion="8" background="1" saveData="1">
    <textPr prompt="0" sourceFile="C:\Users\stick\Desktop\toto_draws.csv" comma="1">
      <textFields>
        <textField/>
      </textFields>
    </textPr>
  </connection>
  <connection id="8" xr16:uid="{1F508582-114B-4A60-9563-003B8D3368F3}" name="toto_draws14" type="6" refreshedVersion="8" background="1" saveData="1">
    <textPr prompt="0" sourceFile="C:\Users\stick\Desktop\toto_draws.csv" comma="1">
      <textFields>
        <textField/>
      </textFields>
    </textPr>
  </connection>
  <connection id="9" xr16:uid="{870ED2F1-A22E-4466-8F86-49B82BC8FDA9}" name="toto_draws2" type="6" refreshedVersion="8" background="1" saveData="1">
    <textPr prompt="0" sourceFile="C:\Users\stick\Desktop\toto_draws.csv" comma="1">
      <textFields>
        <textField/>
      </textFields>
    </textPr>
  </connection>
  <connection id="10" xr16:uid="{6813C329-EB9D-48EE-9D7C-7E7C77350AD9}" name="toto_draws3" type="6" refreshedVersion="8" background="1" saveData="1">
    <textPr prompt="0" sourceFile="C:\Users\stick\Desktop\toto_draws.csv" comma="1">
      <textFields>
        <textField/>
      </textFields>
    </textPr>
  </connection>
  <connection id="11" xr16:uid="{9FE0ADDF-1F4C-4CF5-B84C-C6E5FFEC8CD5}" name="toto_draws4" type="6" refreshedVersion="8" background="1" saveData="1">
    <textPr prompt="0" sourceFile="C:\Users\stick\Desktop\toto_draws.csv" comma="1">
      <textFields>
        <textField/>
      </textFields>
    </textPr>
  </connection>
  <connection id="12" xr16:uid="{F98AE3AC-26F2-4063-8460-4CE6FFD9516C}" name="toto_draws5" type="6" refreshedVersion="8" background="1" saveData="1">
    <textPr prompt="0" sourceFile="C:\Users\kangj\Desktop\toto_draws.csv" comma="1">
      <textFields>
        <textField/>
      </textFields>
    </textPr>
  </connection>
  <connection id="13" xr16:uid="{7512C090-5D67-49EF-A5FF-52796BEB072E}" name="toto_draws6" type="6" refreshedVersion="8" background="1" saveData="1">
    <textPr prompt="0" sourceFile="C:\Users\stick\Desktop\toto_draws.csv" comma="1">
      <textFields>
        <textField/>
      </textFields>
    </textPr>
  </connection>
  <connection id="14" xr16:uid="{76A636D9-700D-49AC-B74C-8047985C0BFF}" name="toto_draws7" type="6" refreshedVersion="8" background="1" saveData="1">
    <textPr prompt="0" sourceFile="C:\Users\stick\Desktop\toto_draws.csv" comma="1">
      <textFields>
        <textField/>
      </textFields>
    </textPr>
  </connection>
  <connection id="15" xr16:uid="{9EC13D2F-23A6-4704-B89B-D80B26425933}" name="toto_draws8" type="6" refreshedVersion="8" background="1" saveData="1">
    <textPr prompt="0" sourceFile="C:\Users\stick\Desktop\toto_draws.csv" comma="1">
      <textFields>
        <textField/>
      </textFields>
    </textPr>
  </connection>
  <connection id="16" xr16:uid="{8BCD341B-0155-4357-AB28-8D47F2E0048F}" name="toto_draws9" type="6" refreshedVersion="8" background="1" saveData="1">
    <textPr prompt="0" sourceFile="C:\Users\stick\Desktop\toto_draws.csv" comma="1">
      <textFields>
        <textField/>
      </textFields>
    </textPr>
  </connection>
  <connection id="17" xr16:uid="{2FB803B8-1D71-47D2-BCEC-572271ACFBFB}" name="toto1" type="6" refreshedVersion="8" background="1" saveData="1">
    <textPr prompt="0" sourceFile="C:\Users\stick\Desktop\toto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<sst xmlns="http://schemas.openxmlformats.org/spreadsheetml/2006/main" count="23" uniqueCount="22">
  <si>
    <t>Date</t>
  </si>
  <si>
    <t>Winning Number 1</t>
  </si>
  <si>
    <t>Winning Number 2</t>
  </si>
  <si>
    <t>Winning Number 3</t>
  </si>
  <si>
    <t>Winning Number 4</t>
  </si>
  <si>
    <t>Winning Number 5</t>
  </si>
  <si>
    <t>Winning Number 6</t>
  </si>
  <si>
    <t>Additional Number</t>
  </si>
  <si>
    <t>Number</t>
  </si>
  <si>
    <t>Frequency</t>
  </si>
  <si>
    <t>Cutoff date</t>
  </si>
  <si>
    <t>Rank</t>
  </si>
  <si>
    <t>Number 1</t>
  </si>
  <si>
    <t>Number 2</t>
  </si>
  <si>
    <t>Number 3</t>
  </si>
  <si>
    <t>Number 4</t>
  </si>
  <si>
    <t>Number 5</t>
  </si>
  <si>
    <t>Number 6</t>
  </si>
  <si>
    <t>Add. Number</t>
  </si>
  <si>
    <t>Today</t>
  </si>
  <si>
    <t>Least Frequent Numbers (Law of Large Numbers)</t>
  </si>
  <si>
    <t>Most Frequent Numbers (Monte Carlo)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</si>
</sst>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809]d\ mmm\ yyyy;@"/>
  </numFmts>
  <fonts count="3" x14ac:knownFonts="1">
    <font>
      <sz val="10"/>
      <name val="Arial"/>
      <family val="2"/>
      <charset val="1"/>
    </font>
    <font>
      <sz val="1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0" fillId="0" borderId="1" xfId="0" applyBorder="1"/>
    <xf numFmtId="14" fontId="0" fillId="0" borderId="1" xfId="0" applyNumberFormat="1" applyBorder="1"/>
    <xf numFmtId="0" fontId="0" fillId="3" borderId="1" xfId="0" applyFill="1" applyBorder="1"/>
    <xf numFmtId="0" fontId="1" fillId="2" borderId="1" xfId="0" applyFont="1" applyFill="1" applyBorder="1"/>
  </cellXfs>
  <cellStyles count="1">
    <cellStyle name="Normal" xfId="0" builtinId="0"/>
  </cellStyles>
  <dxfs count="1">
    <dxf>
      <numFmt numFmtId="164" formatCode="[$-14809]d\ mmm\ yyyy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6</xdr:row>
          <xdr:rowOff>9525</xdr:rowOff>
        </xdr:from>
        <xdr:to>
          <xdr:col>14</xdr:col>
          <xdr:colOff>276225</xdr:colOff>
          <xdr:row>9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CSV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14</xdr:col>
          <xdr:colOff>247650</xdr:colOff>
          <xdr:row>4</xdr:row>
          <xdr:rowOff>95250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11</xdr:row>
          <xdr:rowOff>0</xdr:rowOff>
        </xdr:from>
        <xdr:to>
          <xdr:col>14</xdr:col>
          <xdr:colOff>266700</xdr:colOff>
          <xdr:row>15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Append to table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1" xr16:uid="{0FB57A90-9FEC-4E7F-AA8F-42B76FC7BDC5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3" xr16:uid="{892D6588-91B3-407D-B441-5E556700141B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0" xr16:uid="{0A3B658E-6888-4E26-A3C8-A75EFD2B9982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16" xr16:uid="{D8CDA46E-0834-4E76-9976-B2A5CD217C2C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C4C78CA-7976-4C93-A4E3-46FD8CE4CB5C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" xr16:uid="{3CC5740E-06D9-4694-A058-83ECDE8E7BE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4" xr16:uid="{328332A7-2ED4-4B1D-B93F-5A246E3FE71C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7" xr16:uid="{01CE72B8-7B28-4D78-95F5-B6DD683E8699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4" xr16:uid="{112265F6-7D6C-49DD-A5EA-F74B173C107A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8" xr16:uid="{FAABA978-3B04-4BDD-B0CF-54D8EDAA8B48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2" xr16:uid="{35A7634F-22FD-44CC-85D9-149087AE7717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7" xr16:uid="{4149332A-F4CE-4BB2-8225-0A4EFB077E87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15" xr16:uid="{5F93200C-ACD2-4E7E-BA81-CC4A8BB73DFB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5" xr16:uid="{8CEF6C12-58CC-4D1F-A8AE-18897ABB8C53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7CC72621-916D-4833-8A0C-56E57D3A6BFE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6" xr16:uid="{32283D7D-B0FD-44CA-8283-AE8F611CAA66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9" xr16:uid="{F994C220-0C53-4361-BFB2-70475EE5BB26}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D7BB5B-7D14-4D61-AAC5-D9323FA50430}" name="draws_tbl" displayName="draws_tbl" ref="A1:H1629" totalsRowShown="0">
  <autoFilter ref="A1:H1629" xr:uid="{3FD7BB5B-7D14-4D61-AAC5-D9323FA50430}"/>
  <sortState xmlns:xlrd2="http://schemas.microsoft.com/office/spreadsheetml/2017/richdata2" ref="A2:H1629">
    <sortCondition descending="1" ref="A1:A1629"/>
  </sortState>
  <tableColumns count="8">
    <tableColumn id="1" xr3:uid="{5A15D333-17CF-4E45-8660-98AAC0122622}" name="Date" dataDxfId="0"/>
    <tableColumn id="2" xr3:uid="{BC52BE73-59CB-48B7-9DDC-233E7D01A6F9}" name="Winning Number 1"/>
    <tableColumn id="3" xr3:uid="{A0AD1C54-8F21-4F06-8AED-6C7C70BED466}" name="Winning Number 2"/>
    <tableColumn id="4" xr3:uid="{E9B9DBF0-06EE-4A94-8146-575F9B670E54}" name="Winning Number 3"/>
    <tableColumn id="5" xr3:uid="{FD3C3F24-D892-4910-BF16-4959EBAB6CC9}" name="Winning Number 4"/>
    <tableColumn id="6" xr3:uid="{4FF60FCB-64CA-40EB-B28F-C0F8CFBC4A2C}" name="Winning Number 5"/>
    <tableColumn id="7" xr3:uid="{37885241-E9AD-4E08-BD4C-538986FFDCF5}" name="Winning Number 6"/>
    <tableColumn id="8" xr3:uid="{CADCA273-02A3-4AF2-91B3-93B63E37E349}" name="Additional Number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.xml"/><Relationship Id="rId13" Type="http://schemas.openxmlformats.org/officeDocument/2006/relationships/queryTable" Target="../queryTables/queryTable8.xml"/><Relationship Id="rId18" Type="http://schemas.openxmlformats.org/officeDocument/2006/relationships/queryTable" Target="../queryTables/queryTable13.xml"/><Relationship Id="rId3" Type="http://schemas.openxmlformats.org/officeDocument/2006/relationships/ctrlProp" Target="../ctrlProps/ctrlProp1.xml"/><Relationship Id="rId21" Type="http://schemas.openxmlformats.org/officeDocument/2006/relationships/queryTable" Target="../queryTables/queryTable16.xml"/><Relationship Id="rId7" Type="http://schemas.openxmlformats.org/officeDocument/2006/relationships/queryTable" Target="../queryTables/queryTable2.xml"/><Relationship Id="rId12" Type="http://schemas.openxmlformats.org/officeDocument/2006/relationships/queryTable" Target="../queryTables/queryTable7.xml"/><Relationship Id="rId17" Type="http://schemas.openxmlformats.org/officeDocument/2006/relationships/queryTable" Target="../queryTables/queryTable12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11.xml"/><Relationship Id="rId20" Type="http://schemas.openxmlformats.org/officeDocument/2006/relationships/queryTable" Target="../queryTables/queryTable15.xml"/><Relationship Id="rId1" Type="http://schemas.openxmlformats.org/officeDocument/2006/relationships/drawing" Target="../drawings/drawing1.xml"/><Relationship Id="rId6" Type="http://schemas.openxmlformats.org/officeDocument/2006/relationships/queryTable" Target="../queryTables/queryTable1.xml"/><Relationship Id="rId11" Type="http://schemas.openxmlformats.org/officeDocument/2006/relationships/queryTable" Target="../queryTables/queryTable6.xml"/><Relationship Id="rId5" Type="http://schemas.openxmlformats.org/officeDocument/2006/relationships/ctrlProp" Target="../ctrlProps/ctrlProp3.xml"/><Relationship Id="rId15" Type="http://schemas.openxmlformats.org/officeDocument/2006/relationships/queryTable" Target="../queryTables/queryTable10.xml"/><Relationship Id="rId10" Type="http://schemas.openxmlformats.org/officeDocument/2006/relationships/queryTable" Target="../queryTables/queryTable5.xml"/><Relationship Id="rId19" Type="http://schemas.openxmlformats.org/officeDocument/2006/relationships/queryTable" Target="../queryTables/queryTable14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4.xml"/><Relationship Id="rId14" Type="http://schemas.openxmlformats.org/officeDocument/2006/relationships/queryTable" Target="../queryTables/queryTable9.xml"/><Relationship Id="rId22" Type="http://schemas.openxmlformats.org/officeDocument/2006/relationships/queryTable" Target="../queryTables/queryTable1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1F99A-007F-4295-9C8E-3D49E3342383}">
  <sheetPr codeName="Sheet3"/>
  <dimension ref="A1:H11"/>
  <sheetViews>
    <sheetView zoomScale="130" zoomScaleNormal="130" workbookViewId="0">
      <selection activeCell="D33" sqref="D33"/>
    </sheetView>
  </sheetViews>
  <sheetFormatPr defaultRowHeight="12.75" x14ac:dyDescent="0.2"/>
  <cols>
    <col min="1" max="1" width="9.140625" bestFit="1" customWidth="1"/>
    <col min="2" max="7" width="9" bestFit="1" customWidth="1"/>
    <col min="8" max="8" width="11.85546875" bestFit="1" customWidth="1"/>
  </cols>
  <sheetData>
    <row r="1" spans="1:8" x14ac:dyDescent="0.2">
      <c r="A1" t="s">
        <v>0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</row>
    <row r="2" spans="1:8" x14ac:dyDescent="0.2">
      <c r="A2" s="2">
        <v>45407</v>
      </c>
      <c r="B2">
        <v>5</v>
      </c>
      <c r="C2">
        <v>9</v>
      </c>
      <c r="D2">
        <v>11</v>
      </c>
      <c r="E2">
        <v>18</v>
      </c>
      <c r="F2">
        <v>28</v>
      </c>
      <c r="G2">
        <v>36</v>
      </c>
      <c r="H2">
        <v>35</v>
      </c>
    </row>
    <row r="3" spans="1:8" x14ac:dyDescent="0.2">
      <c r="A3" s="2">
        <v>45404</v>
      </c>
      <c r="B3">
        <v>6</v>
      </c>
      <c r="C3">
        <v>8</v>
      </c>
      <c r="D3">
        <v>11</v>
      </c>
      <c r="E3">
        <v>16</v>
      </c>
      <c r="F3">
        <v>33</v>
      </c>
      <c r="G3">
        <v>37</v>
      </c>
      <c r="H3">
        <v>23</v>
      </c>
    </row>
    <row r="4" spans="1:8" x14ac:dyDescent="0.2">
      <c r="A4" s="2">
        <v>45400</v>
      </c>
      <c r="B4">
        <v>18</v>
      </c>
      <c r="C4">
        <v>22</v>
      </c>
      <c r="D4">
        <v>29</v>
      </c>
      <c r="E4">
        <v>32</v>
      </c>
      <c r="F4">
        <v>37</v>
      </c>
      <c r="G4">
        <v>47</v>
      </c>
      <c r="H4">
        <v>49</v>
      </c>
    </row>
    <row r="5" spans="1:8" x14ac:dyDescent="0.2">
      <c r="A5" s="2">
        <v>45397</v>
      </c>
      <c r="B5">
        <v>5</v>
      </c>
      <c r="C5">
        <v>10</v>
      </c>
      <c r="D5">
        <v>28</v>
      </c>
      <c r="E5">
        <v>36</v>
      </c>
      <c r="F5">
        <v>41</v>
      </c>
      <c r="G5">
        <v>42</v>
      </c>
      <c r="H5">
        <v>19</v>
      </c>
    </row>
    <row r="6" spans="1:8" x14ac:dyDescent="0.2">
      <c r="A6" s="2">
        <v>45393</v>
      </c>
      <c r="B6">
        <v>22</v>
      </c>
      <c r="C6">
        <v>28</v>
      </c>
      <c r="D6">
        <v>33</v>
      </c>
      <c r="E6">
        <v>40</v>
      </c>
      <c r="F6">
        <v>43</v>
      </c>
      <c r="G6">
        <v>47</v>
      </c>
      <c r="H6">
        <v>16</v>
      </c>
    </row>
    <row r="7" spans="1:8" x14ac:dyDescent="0.2">
      <c r="A7" s="2">
        <v>45390</v>
      </c>
      <c r="B7">
        <v>12</v>
      </c>
      <c r="C7">
        <v>23</v>
      </c>
      <c r="D7">
        <v>24</v>
      </c>
      <c r="E7">
        <v>34</v>
      </c>
      <c r="F7">
        <v>43</v>
      </c>
      <c r="G7">
        <v>46</v>
      </c>
      <c r="H7">
        <v>42</v>
      </c>
    </row>
    <row r="8" spans="1:8" x14ac:dyDescent="0.2">
      <c r="A8" s="2">
        <v>45386</v>
      </c>
      <c r="B8">
        <v>3</v>
      </c>
      <c r="C8">
        <v>4</v>
      </c>
      <c r="D8">
        <v>13</v>
      </c>
      <c r="E8">
        <v>31</v>
      </c>
      <c r="F8">
        <v>36</v>
      </c>
      <c r="G8">
        <v>43</v>
      </c>
      <c r="H8">
        <v>19</v>
      </c>
    </row>
    <row r="9" spans="1:8" x14ac:dyDescent="0.2">
      <c r="A9" s="2">
        <v>45383</v>
      </c>
      <c r="B9">
        <v>3</v>
      </c>
      <c r="C9">
        <v>12</v>
      </c>
      <c r="D9">
        <v>18</v>
      </c>
      <c r="E9">
        <v>19</v>
      </c>
      <c r="F9">
        <v>27</v>
      </c>
      <c r="G9">
        <v>41</v>
      </c>
      <c r="H9">
        <v>15</v>
      </c>
    </row>
    <row r="10" spans="1:8" x14ac:dyDescent="0.2">
      <c r="A10" s="2">
        <v>45379</v>
      </c>
      <c r="B10">
        <v>6</v>
      </c>
      <c r="C10">
        <v>8</v>
      </c>
      <c r="D10">
        <v>13</v>
      </c>
      <c r="E10">
        <v>17</v>
      </c>
      <c r="F10">
        <v>26</v>
      </c>
      <c r="G10">
        <v>37</v>
      </c>
      <c r="H10">
        <v>18</v>
      </c>
    </row>
    <row r="11" spans="1:8" x14ac:dyDescent="0.2">
      <c r="A11" s="2">
        <v>45376</v>
      </c>
      <c r="B11">
        <v>4</v>
      </c>
      <c r="C11">
        <v>23</v>
      </c>
      <c r="D11">
        <v>25</v>
      </c>
      <c r="E11">
        <v>27</v>
      </c>
      <c r="F11">
        <v>28</v>
      </c>
      <c r="G11">
        <v>32</v>
      </c>
      <c r="H11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mportCSVFile">
                <anchor moveWithCells="1" sizeWithCells="1">
                  <from>
                    <xdr:col>12</xdr:col>
                    <xdr:colOff>19050</xdr:colOff>
                    <xdr:row>6</xdr:row>
                    <xdr:rowOff>9525</xdr:rowOff>
                  </from>
                  <to>
                    <xdr:col>14</xdr:col>
                    <xdr:colOff>276225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ImportSheet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14</xdr:col>
                    <xdr:colOff>247650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ppendToDrawsTbl">
                <anchor moveWithCells="1" sizeWithCells="1">
                  <from>
                    <xdr:col>12</xdr:col>
                    <xdr:colOff>28575</xdr:colOff>
                    <xdr:row>11</xdr:row>
                    <xdr:rowOff>0</xdr:rowOff>
                  </from>
                  <to>
                    <xdr:col>14</xdr:col>
                    <xdr:colOff>266700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8A2BB-06B1-4F4D-A4B0-3577440C15EE}">
  <sheetPr codeName="Sheet2"/>
  <dimension ref="A1:U3226"/>
  <sheetViews>
    <sheetView tabSelected="1" zoomScale="110" zoomScaleNormal="110" workbookViewId="0">
      <selection activeCell="O14" sqref="O14"/>
    </sheetView>
  </sheetViews>
  <sheetFormatPr defaultRowHeight="12.75" x14ac:dyDescent="0.2"/>
  <cols>
    <col min="1" max="1" width="11.7109375" style="1" bestFit="1" customWidth="1"/>
    <col min="2" max="7" width="18.42578125" customWidth="1"/>
    <col min="8" max="8" width="18.28515625" customWidth="1"/>
    <col min="11" max="11" width="11.28515625" bestFit="1" customWidth="1"/>
    <col min="12" max="13" width="11.28515625" customWidth="1"/>
    <col min="15" max="15" width="10.85546875" customWidth="1"/>
  </cols>
  <sheetData>
    <row r="1" spans="1:21" x14ac:dyDescent="0.2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J1" t="s">
        <v>8</v>
      </c>
      <c r="K1" t="s">
        <v>9</v>
      </c>
      <c r="L1" t="s">
        <v>11</v>
      </c>
      <c r="O1" s="3" t="s">
        <v>10</v>
      </c>
      <c r="P1" s="4">
        <f ca="1">S1-(5*365)</f>
        <v>43585</v>
      </c>
      <c r="R1" t="s">
        <v>19</v>
      </c>
      <c r="S1" s="2">
        <f ca="1">TODAY()</f>
        <v>45410</v>
      </c>
    </row>
    <row r="2" spans="1:21" x14ac:dyDescent="0.2">
      <c r="A2" s="1">
        <v>45407</v>
      </c>
      <c r="B2">
        <v>5</v>
      </c>
      <c r="C2">
        <v>9</v>
      </c>
      <c r="D2">
        <v>11</v>
      </c>
      <c r="E2">
        <v>18</v>
      </c>
      <c r="F2">
        <v>28</v>
      </c>
      <c r="G2">
        <v>36</v>
      </c>
      <c r="H2">
        <v>35</v>
      </c>
      <c r="J2">
        <v>44</v>
      </c>
      <c r="K2">
        <f ca="1">COUNTIFS(draws_tbl[Date],"&gt;="&amp;$P$1,draws_tbl[Winning Number 1],$J2)+COUNTIFS(draws_tbl[Date],"&gt;="&amp;$P$1,draws_tbl[Winning Number 2],$J2)+COUNTIFS(draws_tbl[Date],"&gt;="&amp;$P$1,draws_tbl[Winning Number 3],$J2)+COUNTIFS(draws_tbl[Date],"&gt;="&amp;$P$1,draws_tbl[Winning Number 4],$J2)+COUNTIFS(draws_tbl[Date],"&gt;="&amp;$P$1,draws_tbl[Winning Number 5],$J2)+COUNTIFS(draws_tbl[Date],"&gt;="&amp;$P$1,draws_tbl[Winning Number 6],$J2)+COUNTIFS(draws_tbl[Date],"&gt;="&amp;$P$1,draws_tbl[Additional Number],$J2)</f>
        <v>89</v>
      </c>
      <c r="L2">
        <f ca="1">_xlfn.RANK.EQ(K2,$K$2:$K$50,0)+COUNTIF($K$2:K2,K2)-1</f>
        <v>1</v>
      </c>
    </row>
    <row r="3" spans="1:21" x14ac:dyDescent="0.2">
      <c r="A3" s="1">
        <v>45404</v>
      </c>
      <c r="B3">
        <v>6</v>
      </c>
      <c r="C3">
        <v>8</v>
      </c>
      <c r="D3">
        <v>11</v>
      </c>
      <c r="E3">
        <v>16</v>
      </c>
      <c r="F3">
        <v>33</v>
      </c>
      <c r="G3">
        <v>37</v>
      </c>
      <c r="H3">
        <v>23</v>
      </c>
      <c r="J3">
        <v>1</v>
      </c>
      <c r="K3">
        <f ca="1">COUNTIFS(draws_tbl[Date],"&gt;="&amp;$P$1,draws_tbl[Winning Number 1],$J3)+COUNTIFS(draws_tbl[Date],"&gt;="&amp;$P$1,draws_tbl[Winning Number 2],$J3)+COUNTIFS(draws_tbl[Date],"&gt;="&amp;$P$1,draws_tbl[Winning Number 3],$J3)+COUNTIFS(draws_tbl[Date],"&gt;="&amp;$P$1,draws_tbl[Winning Number 4],$J3)+COUNTIFS(draws_tbl[Date],"&gt;="&amp;$P$1,draws_tbl[Winning Number 5],$J3)+COUNTIFS(draws_tbl[Date],"&gt;="&amp;$P$1,draws_tbl[Winning Number 6],$J3)+COUNTIFS(draws_tbl[Date],"&gt;="&amp;$P$1,draws_tbl[Additional Number],$J3)</f>
        <v>87</v>
      </c>
      <c r="L3">
        <f ca="1">_xlfn.RANK.EQ(K3,$K$2:$K$50,0)+COUNTIF($K$2:K3,K3)-1</f>
        <v>2</v>
      </c>
      <c r="O3" t="s">
        <v>20</v>
      </c>
    </row>
    <row r="4" spans="1:21" x14ac:dyDescent="0.2">
      <c r="A4" s="1">
        <v>45400</v>
      </c>
      <c r="B4">
        <v>18</v>
      </c>
      <c r="C4">
        <v>22</v>
      </c>
      <c r="D4">
        <v>29</v>
      </c>
      <c r="E4">
        <v>32</v>
      </c>
      <c r="F4">
        <v>37</v>
      </c>
      <c r="G4">
        <v>47</v>
      </c>
      <c r="H4">
        <v>49</v>
      </c>
      <c r="J4">
        <v>15</v>
      </c>
      <c r="K4">
        <f ca="1">COUNTIFS(draws_tbl[Date],"&gt;="&amp;$P$1,draws_tbl[Winning Number 1],$J4)+COUNTIFS(draws_tbl[Date],"&gt;="&amp;$P$1,draws_tbl[Winning Number 2],$J4)+COUNTIFS(draws_tbl[Date],"&gt;="&amp;$P$1,draws_tbl[Winning Number 3],$J4)+COUNTIFS(draws_tbl[Date],"&gt;="&amp;$P$1,draws_tbl[Winning Number 4],$J4)+COUNTIFS(draws_tbl[Date],"&gt;="&amp;$P$1,draws_tbl[Winning Number 5],$J4)+COUNTIFS(draws_tbl[Date],"&gt;="&amp;$P$1,draws_tbl[Winning Number 6],$J4)+COUNTIFS(draws_tbl[Date],"&gt;="&amp;$P$1,draws_tbl[Additional Number],$J4)</f>
        <v>80</v>
      </c>
      <c r="L4">
        <f ca="1">_xlfn.RANK.EQ(K4,$K$2:$K$50,0)+COUNTIF($K$2:K4,K4)-1</f>
        <v>5</v>
      </c>
      <c r="O4" s="6">
        <f ca="1">_xlfn.XLOOKUP(49,$L$2:$L$50,$J$2:$J$50)</f>
        <v>39</v>
      </c>
      <c r="P4" s="6">
        <f ca="1">_xlfn.XLOOKUP(48,$L$2:$L$50,$J$2:$J$50)</f>
        <v>17</v>
      </c>
      <c r="Q4" s="6">
        <f ca="1">_xlfn.XLOOKUP(47,$L$2:$L$50,$J$2:$J$50)</f>
        <v>14</v>
      </c>
      <c r="R4" s="6">
        <f ca="1">_xlfn.XLOOKUP(46,$L$2:$L$50,$J$2:$J$50)</f>
        <v>46</v>
      </c>
      <c r="S4" s="6">
        <f ca="1">_xlfn.XLOOKUP(45,$L$2:$L$50,$J$2:$J$50)</f>
        <v>11</v>
      </c>
      <c r="T4" s="6">
        <f ca="1">_xlfn.XLOOKUP(44,$L$2:$L$50,$J$2:$J$50)</f>
        <v>2</v>
      </c>
      <c r="U4" s="6">
        <f ca="1">_xlfn.XLOOKUP(43,$L$2:$L$50,$J$2:$J$50)</f>
        <v>33</v>
      </c>
    </row>
    <row r="5" spans="1:21" x14ac:dyDescent="0.2">
      <c r="A5" s="1">
        <v>45397</v>
      </c>
      <c r="B5">
        <v>5</v>
      </c>
      <c r="C5">
        <v>10</v>
      </c>
      <c r="D5">
        <v>28</v>
      </c>
      <c r="E5">
        <v>36</v>
      </c>
      <c r="F5">
        <v>41</v>
      </c>
      <c r="G5">
        <v>42</v>
      </c>
      <c r="H5">
        <v>19</v>
      </c>
      <c r="J5">
        <v>37</v>
      </c>
      <c r="K5">
        <f ca="1">COUNTIFS(draws_tbl[Date],"&gt;="&amp;$P$1,draws_tbl[Winning Number 1],$J5)+COUNTIFS(draws_tbl[Date],"&gt;="&amp;$P$1,draws_tbl[Winning Number 2],$J5)+COUNTIFS(draws_tbl[Date],"&gt;="&amp;$P$1,draws_tbl[Winning Number 3],$J5)+COUNTIFS(draws_tbl[Date],"&gt;="&amp;$P$1,draws_tbl[Winning Number 4],$J5)+COUNTIFS(draws_tbl[Date],"&gt;="&amp;$P$1,draws_tbl[Winning Number 5],$J5)+COUNTIFS(draws_tbl[Date],"&gt;="&amp;$P$1,draws_tbl[Winning Number 6],$J5)+COUNTIFS(draws_tbl[Date],"&gt;="&amp;$P$1,draws_tbl[Additional Number],$J5)</f>
        <v>83</v>
      </c>
      <c r="L5">
        <f ca="1">_xlfn.RANK.EQ(K5,$K$2:$K$50,0)+COUNTIF($K$2:K5,K5)-1</f>
        <v>3</v>
      </c>
    </row>
    <row r="6" spans="1:21" x14ac:dyDescent="0.2">
      <c r="A6" s="1">
        <v>45393</v>
      </c>
      <c r="B6">
        <v>22</v>
      </c>
      <c r="C6">
        <v>28</v>
      </c>
      <c r="D6">
        <v>33</v>
      </c>
      <c r="E6">
        <v>40</v>
      </c>
      <c r="F6">
        <v>43</v>
      </c>
      <c r="G6">
        <v>47</v>
      </c>
      <c r="H6">
        <v>16</v>
      </c>
      <c r="J6">
        <v>10</v>
      </c>
      <c r="K6">
        <f ca="1">COUNTIFS(draws_tbl[Date],"&gt;="&amp;$P$1,draws_tbl[Winning Number 1],$J6)+COUNTIFS(draws_tbl[Date],"&gt;="&amp;$P$1,draws_tbl[Winning Number 2],$J6)+COUNTIFS(draws_tbl[Date],"&gt;="&amp;$P$1,draws_tbl[Winning Number 3],$J6)+COUNTIFS(draws_tbl[Date],"&gt;="&amp;$P$1,draws_tbl[Winning Number 4],$J6)+COUNTIFS(draws_tbl[Date],"&gt;="&amp;$P$1,draws_tbl[Winning Number 5],$J6)+COUNTIFS(draws_tbl[Date],"&gt;="&amp;$P$1,draws_tbl[Winning Number 6],$J6)+COUNTIFS(draws_tbl[Date],"&gt;="&amp;$P$1,draws_tbl[Additional Number],$J6)</f>
        <v>81</v>
      </c>
      <c r="L6">
        <f ca="1">_xlfn.RANK.EQ(K6,$K$2:$K$50,0)+COUNTIF($K$2:K6,K6)-1</f>
        <v>4</v>
      </c>
    </row>
    <row r="7" spans="1:21" x14ac:dyDescent="0.2">
      <c r="A7" s="1">
        <v>45390</v>
      </c>
      <c r="B7">
        <v>12</v>
      </c>
      <c r="C7">
        <v>23</v>
      </c>
      <c r="D7">
        <v>24</v>
      </c>
      <c r="E7">
        <v>34</v>
      </c>
      <c r="F7">
        <v>43</v>
      </c>
      <c r="G7">
        <v>46</v>
      </c>
      <c r="H7">
        <v>42</v>
      </c>
      <c r="J7">
        <v>30</v>
      </c>
      <c r="K7">
        <f ca="1">COUNTIFS(draws_tbl[Date],"&gt;="&amp;$P$1,draws_tbl[Winning Number 1],$J7)+COUNTIFS(draws_tbl[Date],"&gt;="&amp;$P$1,draws_tbl[Winning Number 2],$J7)+COUNTIFS(draws_tbl[Date],"&gt;="&amp;$P$1,draws_tbl[Winning Number 3],$J7)+COUNTIFS(draws_tbl[Date],"&gt;="&amp;$P$1,draws_tbl[Winning Number 4],$J7)+COUNTIFS(draws_tbl[Date],"&gt;="&amp;$P$1,draws_tbl[Winning Number 5],$J7)+COUNTIFS(draws_tbl[Date],"&gt;="&amp;$P$1,draws_tbl[Winning Number 6],$J7)+COUNTIFS(draws_tbl[Date],"&gt;="&amp;$P$1,draws_tbl[Additional Number],$J7)</f>
        <v>80</v>
      </c>
      <c r="L7">
        <f ca="1">_xlfn.RANK.EQ(K7,$K$2:$K$50,0)+COUNTIF($K$2:K7,K7)-1</f>
        <v>6</v>
      </c>
      <c r="O7" t="s">
        <v>21</v>
      </c>
    </row>
    <row r="8" spans="1:21" x14ac:dyDescent="0.2">
      <c r="A8" s="1">
        <v>45386</v>
      </c>
      <c r="B8">
        <v>3</v>
      </c>
      <c r="C8">
        <v>4</v>
      </c>
      <c r="D8">
        <v>13</v>
      </c>
      <c r="E8">
        <v>31</v>
      </c>
      <c r="F8">
        <v>36</v>
      </c>
      <c r="G8">
        <v>43</v>
      </c>
      <c r="H8">
        <v>19</v>
      </c>
      <c r="J8">
        <v>20</v>
      </c>
      <c r="K8">
        <f ca="1">COUNTIFS(draws_tbl[Date],"&gt;="&amp;$P$1,draws_tbl[Winning Number 1],$J8)+COUNTIFS(draws_tbl[Date],"&gt;="&amp;$P$1,draws_tbl[Winning Number 2],$J8)+COUNTIFS(draws_tbl[Date],"&gt;="&amp;$P$1,draws_tbl[Winning Number 3],$J8)+COUNTIFS(draws_tbl[Date],"&gt;="&amp;$P$1,draws_tbl[Winning Number 4],$J8)+COUNTIFS(draws_tbl[Date],"&gt;="&amp;$P$1,draws_tbl[Winning Number 5],$J8)+COUNTIFS(draws_tbl[Date],"&gt;="&amp;$P$1,draws_tbl[Winning Number 6],$J8)+COUNTIFS(draws_tbl[Date],"&gt;="&amp;$P$1,draws_tbl[Additional Number],$J8)</f>
        <v>79</v>
      </c>
      <c r="L8">
        <f ca="1">_xlfn.RANK.EQ(K8,$K$2:$K$50,0)+COUNTIF($K$2:K8,K8)-1</f>
        <v>8</v>
      </c>
      <c r="O8" s="5">
        <f ca="1">_xlfn.XLOOKUP(1,$L$2:$L$50,$J$2:$J$50)</f>
        <v>44</v>
      </c>
      <c r="P8" s="5">
        <f ca="1">_xlfn.XLOOKUP(2,$L$2:$L$50,$J$2:$J$50)</f>
        <v>1</v>
      </c>
      <c r="Q8" s="5">
        <f ca="1">_xlfn.XLOOKUP(3,$L$2:$L$50,$J$2:$J$50)</f>
        <v>37</v>
      </c>
      <c r="R8" s="5">
        <f ca="1">_xlfn.XLOOKUP(4,$L$2:$L$50,$J$2:$J$50)</f>
        <v>10</v>
      </c>
      <c r="S8" s="5">
        <f ca="1">_xlfn.XLOOKUP(5,$L$2:$L$50,$J$2:$J$50)</f>
        <v>15</v>
      </c>
      <c r="T8" s="5">
        <f ca="1">_xlfn.XLOOKUP(6,$L$2:$L$50,$J$2:$J$50)</f>
        <v>30</v>
      </c>
      <c r="U8" s="5">
        <f ca="1">_xlfn.XLOOKUP(7,$L$2:$L$50,$J$2:$J$50)</f>
        <v>28</v>
      </c>
    </row>
    <row r="9" spans="1:21" x14ac:dyDescent="0.2">
      <c r="A9" s="1">
        <v>45383</v>
      </c>
      <c r="B9">
        <v>3</v>
      </c>
      <c r="C9">
        <v>12</v>
      </c>
      <c r="D9">
        <v>18</v>
      </c>
      <c r="E9">
        <v>19</v>
      </c>
      <c r="F9">
        <v>27</v>
      </c>
      <c r="G9">
        <v>41</v>
      </c>
      <c r="H9">
        <v>15</v>
      </c>
      <c r="J9">
        <v>28</v>
      </c>
      <c r="K9">
        <f ca="1">COUNTIFS(draws_tbl[Date],"&gt;="&amp;$P$1,draws_tbl[Winning Number 1],$J9)+COUNTIFS(draws_tbl[Date],"&gt;="&amp;$P$1,draws_tbl[Winning Number 2],$J9)+COUNTIFS(draws_tbl[Date],"&gt;="&amp;$P$1,draws_tbl[Winning Number 3],$J9)+COUNTIFS(draws_tbl[Date],"&gt;="&amp;$P$1,draws_tbl[Winning Number 4],$J9)+COUNTIFS(draws_tbl[Date],"&gt;="&amp;$P$1,draws_tbl[Winning Number 5],$J9)+COUNTIFS(draws_tbl[Date],"&gt;="&amp;$P$1,draws_tbl[Winning Number 6],$J9)+COUNTIFS(draws_tbl[Date],"&gt;="&amp;$P$1,draws_tbl[Additional Number],$J9)</f>
        <v>80</v>
      </c>
      <c r="L9">
        <f ca="1">_xlfn.RANK.EQ(K9,$K$2:$K$50,0)+COUNTIF($K$2:K9,K9)-1</f>
        <v>7</v>
      </c>
    </row>
    <row r="10" spans="1:21" x14ac:dyDescent="0.2">
      <c r="A10" s="1">
        <v>45379</v>
      </c>
      <c r="B10">
        <v>6</v>
      </c>
      <c r="C10">
        <v>8</v>
      </c>
      <c r="D10">
        <v>13</v>
      </c>
      <c r="E10">
        <v>17</v>
      </c>
      <c r="F10">
        <v>26</v>
      </c>
      <c r="G10">
        <v>37</v>
      </c>
      <c r="H10">
        <v>18</v>
      </c>
      <c r="J10">
        <v>12</v>
      </c>
      <c r="K10">
        <f ca="1">COUNTIFS(draws_tbl[Date],"&gt;="&amp;$P$1,draws_tbl[Winning Number 1],$J10)+COUNTIFS(draws_tbl[Date],"&gt;="&amp;$P$1,draws_tbl[Winning Number 2],$J10)+COUNTIFS(draws_tbl[Date],"&gt;="&amp;$P$1,draws_tbl[Winning Number 3],$J10)+COUNTIFS(draws_tbl[Date],"&gt;="&amp;$P$1,draws_tbl[Winning Number 4],$J10)+COUNTIFS(draws_tbl[Date],"&gt;="&amp;$P$1,draws_tbl[Winning Number 5],$J10)+COUNTIFS(draws_tbl[Date],"&gt;="&amp;$P$1,draws_tbl[Winning Number 6],$J10)+COUNTIFS(draws_tbl[Date],"&gt;="&amp;$P$1,draws_tbl[Additional Number],$J10)</f>
        <v>76</v>
      </c>
      <c r="L10">
        <f ca="1">_xlfn.RANK.EQ(K10,$K$2:$K$50,0)+COUNTIF($K$2:K10,K10)-1</f>
        <v>11</v>
      </c>
    </row>
    <row r="11" spans="1:21" x14ac:dyDescent="0.2">
      <c r="A11" s="1">
        <v>45376</v>
      </c>
      <c r="B11">
        <v>4</v>
      </c>
      <c r="C11">
        <v>23</v>
      </c>
      <c r="D11">
        <v>25</v>
      </c>
      <c r="E11">
        <v>27</v>
      </c>
      <c r="F11">
        <v>28</v>
      </c>
      <c r="G11">
        <v>32</v>
      </c>
      <c r="H11">
        <v>21</v>
      </c>
      <c r="J11">
        <v>34</v>
      </c>
      <c r="K11">
        <f ca="1">COUNTIFS(draws_tbl[Date],"&gt;="&amp;$P$1,draws_tbl[Winning Number 1],$J11)+COUNTIFS(draws_tbl[Date],"&gt;="&amp;$P$1,draws_tbl[Winning Number 2],$J11)+COUNTIFS(draws_tbl[Date],"&gt;="&amp;$P$1,draws_tbl[Winning Number 3],$J11)+COUNTIFS(draws_tbl[Date],"&gt;="&amp;$P$1,draws_tbl[Winning Number 4],$J11)+COUNTIFS(draws_tbl[Date],"&gt;="&amp;$P$1,draws_tbl[Winning Number 5],$J11)+COUNTIFS(draws_tbl[Date],"&gt;="&amp;$P$1,draws_tbl[Winning Number 6],$J11)+COUNTIFS(draws_tbl[Date],"&gt;="&amp;$P$1,draws_tbl[Additional Number],$J11)</f>
        <v>77</v>
      </c>
      <c r="L11">
        <f ca="1">_xlfn.RANK.EQ(K11,$K$2:$K$50,0)+COUNTIF($K$2:K11,K11)-1</f>
        <v>10</v>
      </c>
    </row>
    <row r="12" spans="1:21" x14ac:dyDescent="0.2">
      <c r="A12" s="1">
        <v>45372</v>
      </c>
      <c r="B12">
        <v>6</v>
      </c>
      <c r="C12">
        <v>8</v>
      </c>
      <c r="D12">
        <v>18</v>
      </c>
      <c r="E12">
        <v>19</v>
      </c>
      <c r="F12">
        <v>33</v>
      </c>
      <c r="G12">
        <v>44</v>
      </c>
      <c r="H12">
        <v>15</v>
      </c>
      <c r="J12">
        <v>49</v>
      </c>
      <c r="K12">
        <f ca="1">COUNTIFS(draws_tbl[Date],"&gt;="&amp;$P$1,draws_tbl[Winning Number 1],$J12)+COUNTIFS(draws_tbl[Date],"&gt;="&amp;$P$1,draws_tbl[Winning Number 2],$J12)+COUNTIFS(draws_tbl[Date],"&gt;="&amp;$P$1,draws_tbl[Winning Number 3],$J12)+COUNTIFS(draws_tbl[Date],"&gt;="&amp;$P$1,draws_tbl[Winning Number 4],$J12)+COUNTIFS(draws_tbl[Date],"&gt;="&amp;$P$1,draws_tbl[Winning Number 5],$J12)+COUNTIFS(draws_tbl[Date],"&gt;="&amp;$P$1,draws_tbl[Winning Number 6],$J12)+COUNTIFS(draws_tbl[Date],"&gt;="&amp;$P$1,draws_tbl[Additional Number],$J12)</f>
        <v>78</v>
      </c>
      <c r="L12">
        <f ca="1">_xlfn.RANK.EQ(K12,$K$2:$K$50,0)+COUNTIF($K$2:K12,K12)-1</f>
        <v>9</v>
      </c>
    </row>
    <row r="13" spans="1:21" x14ac:dyDescent="0.2">
      <c r="A13" s="1">
        <v>45369</v>
      </c>
      <c r="B13">
        <v>1</v>
      </c>
      <c r="C13">
        <v>4</v>
      </c>
      <c r="D13">
        <v>6</v>
      </c>
      <c r="E13">
        <v>15</v>
      </c>
      <c r="F13">
        <v>30</v>
      </c>
      <c r="G13">
        <v>48</v>
      </c>
      <c r="H13">
        <v>45</v>
      </c>
      <c r="J13">
        <v>45</v>
      </c>
      <c r="K13">
        <f ca="1">COUNTIFS(draws_tbl[Date],"&gt;="&amp;$P$1,draws_tbl[Winning Number 1],$J13)+COUNTIFS(draws_tbl[Date],"&gt;="&amp;$P$1,draws_tbl[Winning Number 2],$J13)+COUNTIFS(draws_tbl[Date],"&gt;="&amp;$P$1,draws_tbl[Winning Number 3],$J13)+COUNTIFS(draws_tbl[Date],"&gt;="&amp;$P$1,draws_tbl[Winning Number 4],$J13)+COUNTIFS(draws_tbl[Date],"&gt;="&amp;$P$1,draws_tbl[Winning Number 5],$J13)+COUNTIFS(draws_tbl[Date],"&gt;="&amp;$P$1,draws_tbl[Winning Number 6],$J13)+COUNTIFS(draws_tbl[Date],"&gt;="&amp;$P$1,draws_tbl[Additional Number],$J13)</f>
        <v>76</v>
      </c>
      <c r="L13">
        <f ca="1">_xlfn.RANK.EQ(K13,$K$2:$K$50,0)+COUNTIF($K$2:K13,K13)-1</f>
        <v>12</v>
      </c>
    </row>
    <row r="14" spans="1:21" x14ac:dyDescent="0.2">
      <c r="A14" s="1">
        <v>45365</v>
      </c>
      <c r="B14">
        <v>8</v>
      </c>
      <c r="C14">
        <v>26</v>
      </c>
      <c r="D14">
        <v>34</v>
      </c>
      <c r="E14">
        <v>35</v>
      </c>
      <c r="F14">
        <v>45</v>
      </c>
      <c r="G14">
        <v>46</v>
      </c>
      <c r="H14">
        <v>36</v>
      </c>
      <c r="J14">
        <v>48</v>
      </c>
      <c r="K14">
        <f ca="1">COUNTIFS(draws_tbl[Date],"&gt;="&amp;$P$1,draws_tbl[Winning Number 1],$J14)+COUNTIFS(draws_tbl[Date],"&gt;="&amp;$P$1,draws_tbl[Winning Number 2],$J14)+COUNTIFS(draws_tbl[Date],"&gt;="&amp;$P$1,draws_tbl[Winning Number 3],$J14)+COUNTIFS(draws_tbl[Date],"&gt;="&amp;$P$1,draws_tbl[Winning Number 4],$J14)+COUNTIFS(draws_tbl[Date],"&gt;="&amp;$P$1,draws_tbl[Winning Number 5],$J14)+COUNTIFS(draws_tbl[Date],"&gt;="&amp;$P$1,draws_tbl[Winning Number 6],$J14)+COUNTIFS(draws_tbl[Date],"&gt;="&amp;$P$1,draws_tbl[Additional Number],$J14)</f>
        <v>75</v>
      </c>
      <c r="L14">
        <f ca="1">_xlfn.RANK.EQ(K14,$K$2:$K$50,0)+COUNTIF($K$2:K14,K14)-1</f>
        <v>13</v>
      </c>
    </row>
    <row r="15" spans="1:21" x14ac:dyDescent="0.2">
      <c r="A15" s="1">
        <v>45362</v>
      </c>
      <c r="B15">
        <v>5</v>
      </c>
      <c r="C15">
        <v>9</v>
      </c>
      <c r="D15">
        <v>30</v>
      </c>
      <c r="E15">
        <v>37</v>
      </c>
      <c r="F15">
        <v>40</v>
      </c>
      <c r="G15">
        <v>49</v>
      </c>
      <c r="H15">
        <v>33</v>
      </c>
      <c r="J15">
        <v>24</v>
      </c>
      <c r="K15">
        <f ca="1">COUNTIFS(draws_tbl[Date],"&gt;="&amp;$P$1,draws_tbl[Winning Number 1],$J15)+COUNTIFS(draws_tbl[Date],"&gt;="&amp;$P$1,draws_tbl[Winning Number 2],$J15)+COUNTIFS(draws_tbl[Date],"&gt;="&amp;$P$1,draws_tbl[Winning Number 3],$J15)+COUNTIFS(draws_tbl[Date],"&gt;="&amp;$P$1,draws_tbl[Winning Number 4],$J15)+COUNTIFS(draws_tbl[Date],"&gt;="&amp;$P$1,draws_tbl[Winning Number 5],$J15)+COUNTIFS(draws_tbl[Date],"&gt;="&amp;$P$1,draws_tbl[Winning Number 6],$J15)+COUNTIFS(draws_tbl[Date],"&gt;="&amp;$P$1,draws_tbl[Additional Number],$J15)</f>
        <v>75</v>
      </c>
      <c r="L15">
        <f ca="1">_xlfn.RANK.EQ(K15,$K$2:$K$50,0)+COUNTIF($K$2:K15,K15)-1</f>
        <v>14</v>
      </c>
    </row>
    <row r="16" spans="1:21" x14ac:dyDescent="0.2">
      <c r="A16" s="1">
        <v>45358</v>
      </c>
      <c r="B16">
        <v>5</v>
      </c>
      <c r="C16">
        <v>11</v>
      </c>
      <c r="D16">
        <v>15</v>
      </c>
      <c r="E16">
        <v>20</v>
      </c>
      <c r="F16">
        <v>31</v>
      </c>
      <c r="G16">
        <v>47</v>
      </c>
      <c r="H16">
        <v>44</v>
      </c>
      <c r="J16">
        <v>7</v>
      </c>
      <c r="K16">
        <f ca="1">COUNTIFS(draws_tbl[Date],"&gt;="&amp;$P$1,draws_tbl[Winning Number 1],$J16)+COUNTIFS(draws_tbl[Date],"&gt;="&amp;$P$1,draws_tbl[Winning Number 2],$J16)+COUNTIFS(draws_tbl[Date],"&gt;="&amp;$P$1,draws_tbl[Winning Number 3],$J16)+COUNTIFS(draws_tbl[Date],"&gt;="&amp;$P$1,draws_tbl[Winning Number 4],$J16)+COUNTIFS(draws_tbl[Date],"&gt;="&amp;$P$1,draws_tbl[Winning Number 5],$J16)+COUNTIFS(draws_tbl[Date],"&gt;="&amp;$P$1,draws_tbl[Winning Number 6],$J16)+COUNTIFS(draws_tbl[Date],"&gt;="&amp;$P$1,draws_tbl[Additional Number],$J16)</f>
        <v>74</v>
      </c>
      <c r="L16">
        <f ca="1">_xlfn.RANK.EQ(K16,$K$2:$K$50,0)+COUNTIF($K$2:K16,K16)-1</f>
        <v>17</v>
      </c>
    </row>
    <row r="17" spans="1:12" x14ac:dyDescent="0.2">
      <c r="A17" s="1">
        <v>45355</v>
      </c>
      <c r="B17">
        <v>13</v>
      </c>
      <c r="C17">
        <v>17</v>
      </c>
      <c r="D17">
        <v>25</v>
      </c>
      <c r="E17">
        <v>27</v>
      </c>
      <c r="F17">
        <v>28</v>
      </c>
      <c r="G17">
        <v>44</v>
      </c>
      <c r="H17">
        <v>3</v>
      </c>
      <c r="J17">
        <v>40</v>
      </c>
      <c r="K17">
        <f ca="1">COUNTIFS(draws_tbl[Date],"&gt;="&amp;$P$1,draws_tbl[Winning Number 1],$J17)+COUNTIFS(draws_tbl[Date],"&gt;="&amp;$P$1,draws_tbl[Winning Number 2],$J17)+COUNTIFS(draws_tbl[Date],"&gt;="&amp;$P$1,draws_tbl[Winning Number 3],$J17)+COUNTIFS(draws_tbl[Date],"&gt;="&amp;$P$1,draws_tbl[Winning Number 4],$J17)+COUNTIFS(draws_tbl[Date],"&gt;="&amp;$P$1,draws_tbl[Winning Number 5],$J17)+COUNTIFS(draws_tbl[Date],"&gt;="&amp;$P$1,draws_tbl[Winning Number 6],$J17)+COUNTIFS(draws_tbl[Date],"&gt;="&amp;$P$1,draws_tbl[Additional Number],$J17)</f>
        <v>74</v>
      </c>
      <c r="L17">
        <f ca="1">_xlfn.RANK.EQ(K17,$K$2:$K$50,0)+COUNTIF($K$2:K17,K17)-1</f>
        <v>18</v>
      </c>
    </row>
    <row r="18" spans="1:12" x14ac:dyDescent="0.2">
      <c r="A18" s="1">
        <v>45351</v>
      </c>
      <c r="B18">
        <v>1</v>
      </c>
      <c r="C18">
        <v>14</v>
      </c>
      <c r="D18">
        <v>28</v>
      </c>
      <c r="E18">
        <v>44</v>
      </c>
      <c r="F18">
        <v>45</v>
      </c>
      <c r="G18">
        <v>49</v>
      </c>
      <c r="H18">
        <v>16</v>
      </c>
      <c r="J18">
        <v>27</v>
      </c>
      <c r="K18">
        <f ca="1">COUNTIFS(draws_tbl[Date],"&gt;="&amp;$P$1,draws_tbl[Winning Number 1],$J18)+COUNTIFS(draws_tbl[Date],"&gt;="&amp;$P$1,draws_tbl[Winning Number 2],$J18)+COUNTIFS(draws_tbl[Date],"&gt;="&amp;$P$1,draws_tbl[Winning Number 3],$J18)+COUNTIFS(draws_tbl[Date],"&gt;="&amp;$P$1,draws_tbl[Winning Number 4],$J18)+COUNTIFS(draws_tbl[Date],"&gt;="&amp;$P$1,draws_tbl[Winning Number 5],$J18)+COUNTIFS(draws_tbl[Date],"&gt;="&amp;$P$1,draws_tbl[Winning Number 6],$J18)+COUNTIFS(draws_tbl[Date],"&gt;="&amp;$P$1,draws_tbl[Additional Number],$J18)</f>
        <v>74</v>
      </c>
      <c r="L18">
        <f ca="1">_xlfn.RANK.EQ(K18,$K$2:$K$50,0)+COUNTIF($K$2:K18,K18)-1</f>
        <v>19</v>
      </c>
    </row>
    <row r="19" spans="1:12" x14ac:dyDescent="0.2">
      <c r="A19" s="1">
        <v>45348</v>
      </c>
      <c r="B19">
        <v>2</v>
      </c>
      <c r="C19">
        <v>8</v>
      </c>
      <c r="D19">
        <v>14</v>
      </c>
      <c r="E19">
        <v>27</v>
      </c>
      <c r="F19">
        <v>39</v>
      </c>
      <c r="G19">
        <v>42</v>
      </c>
      <c r="H19">
        <v>10</v>
      </c>
      <c r="J19">
        <v>22</v>
      </c>
      <c r="K19">
        <f ca="1">COUNTIFS(draws_tbl[Date],"&gt;="&amp;$P$1,draws_tbl[Winning Number 1],$J19)+COUNTIFS(draws_tbl[Date],"&gt;="&amp;$P$1,draws_tbl[Winning Number 2],$J19)+COUNTIFS(draws_tbl[Date],"&gt;="&amp;$P$1,draws_tbl[Winning Number 3],$J19)+COUNTIFS(draws_tbl[Date],"&gt;="&amp;$P$1,draws_tbl[Winning Number 4],$J19)+COUNTIFS(draws_tbl[Date],"&gt;="&amp;$P$1,draws_tbl[Winning Number 5],$J19)+COUNTIFS(draws_tbl[Date],"&gt;="&amp;$P$1,draws_tbl[Winning Number 6],$J19)+COUNTIFS(draws_tbl[Date],"&gt;="&amp;$P$1,draws_tbl[Additional Number],$J19)</f>
        <v>75</v>
      </c>
      <c r="L19">
        <f ca="1">_xlfn.RANK.EQ(K19,$K$2:$K$50,0)+COUNTIF($K$2:K19,K19)-1</f>
        <v>15</v>
      </c>
    </row>
    <row r="20" spans="1:12" x14ac:dyDescent="0.2">
      <c r="A20" s="1">
        <v>45345</v>
      </c>
      <c r="B20">
        <v>18</v>
      </c>
      <c r="C20">
        <v>21</v>
      </c>
      <c r="D20">
        <v>26</v>
      </c>
      <c r="E20">
        <v>35</v>
      </c>
      <c r="F20">
        <v>38</v>
      </c>
      <c r="G20">
        <v>43</v>
      </c>
      <c r="H20">
        <v>40</v>
      </c>
      <c r="J20">
        <v>5</v>
      </c>
      <c r="K20">
        <f ca="1">COUNTIFS(draws_tbl[Date],"&gt;="&amp;$P$1,draws_tbl[Winning Number 1],$J20)+COUNTIFS(draws_tbl[Date],"&gt;="&amp;$P$1,draws_tbl[Winning Number 2],$J20)+COUNTIFS(draws_tbl[Date],"&gt;="&amp;$P$1,draws_tbl[Winning Number 3],$J20)+COUNTIFS(draws_tbl[Date],"&gt;="&amp;$P$1,draws_tbl[Winning Number 4],$J20)+COUNTIFS(draws_tbl[Date],"&gt;="&amp;$P$1,draws_tbl[Winning Number 5],$J20)+COUNTIFS(draws_tbl[Date],"&gt;="&amp;$P$1,draws_tbl[Winning Number 6],$J20)+COUNTIFS(draws_tbl[Date],"&gt;="&amp;$P$1,draws_tbl[Additional Number],$J20)</f>
        <v>75</v>
      </c>
      <c r="L20">
        <f ca="1">_xlfn.RANK.EQ(K20,$K$2:$K$50,0)+COUNTIF($K$2:K20,K20)-1</f>
        <v>16</v>
      </c>
    </row>
    <row r="21" spans="1:12" x14ac:dyDescent="0.2">
      <c r="A21" s="1">
        <v>45341</v>
      </c>
      <c r="B21">
        <v>1</v>
      </c>
      <c r="C21">
        <v>10</v>
      </c>
      <c r="D21">
        <v>21</v>
      </c>
      <c r="E21">
        <v>29</v>
      </c>
      <c r="F21">
        <v>35</v>
      </c>
      <c r="G21">
        <v>42</v>
      </c>
      <c r="H21">
        <v>27</v>
      </c>
      <c r="J21">
        <v>4</v>
      </c>
      <c r="K21">
        <f ca="1">COUNTIFS(draws_tbl[Date],"&gt;="&amp;$P$1,draws_tbl[Winning Number 1],$J21)+COUNTIFS(draws_tbl[Date],"&gt;="&amp;$P$1,draws_tbl[Winning Number 2],$J21)+COUNTIFS(draws_tbl[Date],"&gt;="&amp;$P$1,draws_tbl[Winning Number 3],$J21)+COUNTIFS(draws_tbl[Date],"&gt;="&amp;$P$1,draws_tbl[Winning Number 4],$J21)+COUNTIFS(draws_tbl[Date],"&gt;="&amp;$P$1,draws_tbl[Winning Number 5],$J21)+COUNTIFS(draws_tbl[Date],"&gt;="&amp;$P$1,draws_tbl[Winning Number 6],$J21)+COUNTIFS(draws_tbl[Date],"&gt;="&amp;$P$1,draws_tbl[Additional Number],$J21)</f>
        <v>72</v>
      </c>
      <c r="L21">
        <f ca="1">_xlfn.RANK.EQ(K21,$K$2:$K$50,0)+COUNTIF($K$2:K21,K21)-1</f>
        <v>22</v>
      </c>
    </row>
    <row r="22" spans="1:12" x14ac:dyDescent="0.2">
      <c r="A22" s="1">
        <v>45337</v>
      </c>
      <c r="B22">
        <v>15</v>
      </c>
      <c r="C22">
        <v>18</v>
      </c>
      <c r="D22">
        <v>22</v>
      </c>
      <c r="E22">
        <v>35</v>
      </c>
      <c r="F22">
        <v>41</v>
      </c>
      <c r="G22">
        <v>48</v>
      </c>
      <c r="H22">
        <v>5</v>
      </c>
      <c r="J22">
        <v>36</v>
      </c>
      <c r="K22">
        <f ca="1">COUNTIFS(draws_tbl[Date],"&gt;="&amp;$P$1,draws_tbl[Winning Number 1],$J22)+COUNTIFS(draws_tbl[Date],"&gt;="&amp;$P$1,draws_tbl[Winning Number 2],$J22)+COUNTIFS(draws_tbl[Date],"&gt;="&amp;$P$1,draws_tbl[Winning Number 3],$J22)+COUNTIFS(draws_tbl[Date],"&gt;="&amp;$P$1,draws_tbl[Winning Number 4],$J22)+COUNTIFS(draws_tbl[Date],"&gt;="&amp;$P$1,draws_tbl[Winning Number 5],$J22)+COUNTIFS(draws_tbl[Date],"&gt;="&amp;$P$1,draws_tbl[Winning Number 6],$J22)+COUNTIFS(draws_tbl[Date],"&gt;="&amp;$P$1,draws_tbl[Additional Number],$J22)</f>
        <v>74</v>
      </c>
      <c r="L22">
        <f ca="1">_xlfn.RANK.EQ(K22,$K$2:$K$50,0)+COUNTIF($K$2:K22,K22)-1</f>
        <v>20</v>
      </c>
    </row>
    <row r="23" spans="1:12" x14ac:dyDescent="0.2">
      <c r="A23" s="1">
        <v>45334</v>
      </c>
      <c r="B23">
        <v>9</v>
      </c>
      <c r="C23">
        <v>16</v>
      </c>
      <c r="D23">
        <v>20</v>
      </c>
      <c r="E23">
        <v>25</v>
      </c>
      <c r="F23">
        <v>31</v>
      </c>
      <c r="G23">
        <v>39</v>
      </c>
      <c r="H23">
        <v>41</v>
      </c>
      <c r="J23">
        <v>35</v>
      </c>
      <c r="K23">
        <f ca="1">COUNTIFS(draws_tbl[Date],"&gt;="&amp;$P$1,draws_tbl[Winning Number 1],$J23)+COUNTIFS(draws_tbl[Date],"&gt;="&amp;$P$1,draws_tbl[Winning Number 2],$J23)+COUNTIFS(draws_tbl[Date],"&gt;="&amp;$P$1,draws_tbl[Winning Number 3],$J23)+COUNTIFS(draws_tbl[Date],"&gt;="&amp;$P$1,draws_tbl[Winning Number 4],$J23)+COUNTIFS(draws_tbl[Date],"&gt;="&amp;$P$1,draws_tbl[Winning Number 5],$J23)+COUNTIFS(draws_tbl[Date],"&gt;="&amp;$P$1,draws_tbl[Winning Number 6],$J23)+COUNTIFS(draws_tbl[Date],"&gt;="&amp;$P$1,draws_tbl[Additional Number],$J23)</f>
        <v>73</v>
      </c>
      <c r="L23">
        <f ca="1">_xlfn.RANK.EQ(K23,$K$2:$K$50,0)+COUNTIF($K$2:K23,K23)-1</f>
        <v>21</v>
      </c>
    </row>
    <row r="24" spans="1:12" x14ac:dyDescent="0.2">
      <c r="A24" s="1">
        <v>45330</v>
      </c>
      <c r="B24">
        <v>6</v>
      </c>
      <c r="C24">
        <v>16</v>
      </c>
      <c r="D24">
        <v>21</v>
      </c>
      <c r="E24">
        <v>27</v>
      </c>
      <c r="F24">
        <v>31</v>
      </c>
      <c r="G24">
        <v>37</v>
      </c>
      <c r="H24">
        <v>49</v>
      </c>
      <c r="J24">
        <v>3</v>
      </c>
      <c r="K24">
        <f ca="1">COUNTIFS(draws_tbl[Date],"&gt;="&amp;$P$1,draws_tbl[Winning Number 1],$J24)+COUNTIFS(draws_tbl[Date],"&gt;="&amp;$P$1,draws_tbl[Winning Number 2],$J24)+COUNTIFS(draws_tbl[Date],"&gt;="&amp;$P$1,draws_tbl[Winning Number 3],$J24)+COUNTIFS(draws_tbl[Date],"&gt;="&amp;$P$1,draws_tbl[Winning Number 4],$J24)+COUNTIFS(draws_tbl[Date],"&gt;="&amp;$P$1,draws_tbl[Winning Number 5],$J24)+COUNTIFS(draws_tbl[Date],"&gt;="&amp;$P$1,draws_tbl[Winning Number 6],$J24)+COUNTIFS(draws_tbl[Date],"&gt;="&amp;$P$1,draws_tbl[Additional Number],$J24)</f>
        <v>72</v>
      </c>
      <c r="L24">
        <f ca="1">_xlfn.RANK.EQ(K24,$K$2:$K$50,0)+COUNTIF($K$2:K24,K24)-1</f>
        <v>23</v>
      </c>
    </row>
    <row r="25" spans="1:12" x14ac:dyDescent="0.2">
      <c r="A25" s="1">
        <v>45327</v>
      </c>
      <c r="B25">
        <v>14</v>
      </c>
      <c r="C25">
        <v>17</v>
      </c>
      <c r="D25">
        <v>20</v>
      </c>
      <c r="E25">
        <v>25</v>
      </c>
      <c r="F25">
        <v>28</v>
      </c>
      <c r="G25">
        <v>37</v>
      </c>
      <c r="H25">
        <v>13</v>
      </c>
      <c r="J25">
        <v>38</v>
      </c>
      <c r="K25">
        <f ca="1">COUNTIFS(draws_tbl[Date],"&gt;="&amp;$P$1,draws_tbl[Winning Number 1],$J25)+COUNTIFS(draws_tbl[Date],"&gt;="&amp;$P$1,draws_tbl[Winning Number 2],$J25)+COUNTIFS(draws_tbl[Date],"&gt;="&amp;$P$1,draws_tbl[Winning Number 3],$J25)+COUNTIFS(draws_tbl[Date],"&gt;="&amp;$P$1,draws_tbl[Winning Number 4],$J25)+COUNTIFS(draws_tbl[Date],"&gt;="&amp;$P$1,draws_tbl[Winning Number 5],$J25)+COUNTIFS(draws_tbl[Date],"&gt;="&amp;$P$1,draws_tbl[Winning Number 6],$J25)+COUNTIFS(draws_tbl[Date],"&gt;="&amp;$P$1,draws_tbl[Additional Number],$J25)</f>
        <v>71</v>
      </c>
      <c r="L25">
        <f ca="1">_xlfn.RANK.EQ(K25,$K$2:$K$50,0)+COUNTIF($K$2:K25,K25)-1</f>
        <v>24</v>
      </c>
    </row>
    <row r="26" spans="1:12" x14ac:dyDescent="0.2">
      <c r="A26" s="1">
        <v>45324</v>
      </c>
      <c r="B26">
        <v>2</v>
      </c>
      <c r="C26">
        <v>27</v>
      </c>
      <c r="D26">
        <v>29</v>
      </c>
      <c r="E26">
        <v>36</v>
      </c>
      <c r="F26">
        <v>44</v>
      </c>
      <c r="G26">
        <v>48</v>
      </c>
      <c r="H26">
        <v>12</v>
      </c>
      <c r="J26">
        <v>26</v>
      </c>
      <c r="K26">
        <f ca="1">COUNTIFS(draws_tbl[Date],"&gt;="&amp;$P$1,draws_tbl[Winning Number 1],$J26)+COUNTIFS(draws_tbl[Date],"&gt;="&amp;$P$1,draws_tbl[Winning Number 2],$J26)+COUNTIFS(draws_tbl[Date],"&gt;="&amp;$P$1,draws_tbl[Winning Number 3],$J26)+COUNTIFS(draws_tbl[Date],"&gt;="&amp;$P$1,draws_tbl[Winning Number 4],$J26)+COUNTIFS(draws_tbl[Date],"&gt;="&amp;$P$1,draws_tbl[Winning Number 5],$J26)+COUNTIFS(draws_tbl[Date],"&gt;="&amp;$P$1,draws_tbl[Winning Number 6],$J26)+COUNTIFS(draws_tbl[Date],"&gt;="&amp;$P$1,draws_tbl[Additional Number],$J26)</f>
        <v>71</v>
      </c>
      <c r="L26">
        <f ca="1">_xlfn.RANK.EQ(K26,$K$2:$K$50,0)+COUNTIF($K$2:K26,K26)-1</f>
        <v>25</v>
      </c>
    </row>
    <row r="27" spans="1:12" x14ac:dyDescent="0.2">
      <c r="A27" s="1">
        <v>45320</v>
      </c>
      <c r="B27">
        <v>20</v>
      </c>
      <c r="C27">
        <v>22</v>
      </c>
      <c r="D27">
        <v>24</v>
      </c>
      <c r="E27">
        <v>28</v>
      </c>
      <c r="F27">
        <v>40</v>
      </c>
      <c r="G27">
        <v>49</v>
      </c>
      <c r="H27">
        <v>27</v>
      </c>
      <c r="J27">
        <v>8</v>
      </c>
      <c r="K27">
        <f ca="1">COUNTIFS(draws_tbl[Date],"&gt;="&amp;$P$1,draws_tbl[Winning Number 1],$J27)+COUNTIFS(draws_tbl[Date],"&gt;="&amp;$P$1,draws_tbl[Winning Number 2],$J27)+COUNTIFS(draws_tbl[Date],"&gt;="&amp;$P$1,draws_tbl[Winning Number 3],$J27)+COUNTIFS(draws_tbl[Date],"&gt;="&amp;$P$1,draws_tbl[Winning Number 4],$J27)+COUNTIFS(draws_tbl[Date],"&gt;="&amp;$P$1,draws_tbl[Winning Number 5],$J27)+COUNTIFS(draws_tbl[Date],"&gt;="&amp;$P$1,draws_tbl[Winning Number 6],$J27)+COUNTIFS(draws_tbl[Date],"&gt;="&amp;$P$1,draws_tbl[Additional Number],$J27)</f>
        <v>71</v>
      </c>
      <c r="L27">
        <f ca="1">_xlfn.RANK.EQ(K27,$K$2:$K$50,0)+COUNTIF($K$2:K27,K27)-1</f>
        <v>26</v>
      </c>
    </row>
    <row r="28" spans="1:12" x14ac:dyDescent="0.2">
      <c r="A28" s="1">
        <v>45316</v>
      </c>
      <c r="B28">
        <v>10</v>
      </c>
      <c r="C28">
        <v>18</v>
      </c>
      <c r="D28">
        <v>44</v>
      </c>
      <c r="E28">
        <v>45</v>
      </c>
      <c r="F28">
        <v>48</v>
      </c>
      <c r="G28">
        <v>49</v>
      </c>
      <c r="H28">
        <v>20</v>
      </c>
      <c r="J28">
        <v>6</v>
      </c>
      <c r="K28">
        <f ca="1">COUNTIFS(draws_tbl[Date],"&gt;="&amp;$P$1,draws_tbl[Winning Number 1],$J28)+COUNTIFS(draws_tbl[Date],"&gt;="&amp;$P$1,draws_tbl[Winning Number 2],$J28)+COUNTIFS(draws_tbl[Date],"&gt;="&amp;$P$1,draws_tbl[Winning Number 3],$J28)+COUNTIFS(draws_tbl[Date],"&gt;="&amp;$P$1,draws_tbl[Winning Number 4],$J28)+COUNTIFS(draws_tbl[Date],"&gt;="&amp;$P$1,draws_tbl[Winning Number 5],$J28)+COUNTIFS(draws_tbl[Date],"&gt;="&amp;$P$1,draws_tbl[Winning Number 6],$J28)+COUNTIFS(draws_tbl[Date],"&gt;="&amp;$P$1,draws_tbl[Additional Number],$J28)</f>
        <v>70</v>
      </c>
      <c r="L28">
        <f ca="1">_xlfn.RANK.EQ(K28,$K$2:$K$50,0)+COUNTIF($K$2:K28,K28)-1</f>
        <v>27</v>
      </c>
    </row>
    <row r="29" spans="1:12" x14ac:dyDescent="0.2">
      <c r="A29" s="1">
        <v>45313</v>
      </c>
      <c r="B29">
        <v>1</v>
      </c>
      <c r="C29">
        <v>3</v>
      </c>
      <c r="D29">
        <v>8</v>
      </c>
      <c r="E29">
        <v>13</v>
      </c>
      <c r="F29">
        <v>40</v>
      </c>
      <c r="G29">
        <v>48</v>
      </c>
      <c r="H29">
        <v>6</v>
      </c>
      <c r="J29">
        <v>42</v>
      </c>
      <c r="K29">
        <f ca="1">COUNTIFS(draws_tbl[Date],"&gt;="&amp;$P$1,draws_tbl[Winning Number 1],$J29)+COUNTIFS(draws_tbl[Date],"&gt;="&amp;$P$1,draws_tbl[Winning Number 2],$J29)+COUNTIFS(draws_tbl[Date],"&gt;="&amp;$P$1,draws_tbl[Winning Number 3],$J29)+COUNTIFS(draws_tbl[Date],"&gt;="&amp;$P$1,draws_tbl[Winning Number 4],$J29)+COUNTIFS(draws_tbl[Date],"&gt;="&amp;$P$1,draws_tbl[Winning Number 5],$J29)+COUNTIFS(draws_tbl[Date],"&gt;="&amp;$P$1,draws_tbl[Winning Number 6],$J29)+COUNTIFS(draws_tbl[Date],"&gt;="&amp;$P$1,draws_tbl[Additional Number],$J29)</f>
        <v>70</v>
      </c>
      <c r="L29">
        <f ca="1">_xlfn.RANK.EQ(K29,$K$2:$K$50,0)+COUNTIF($K$2:K29,K29)-1</f>
        <v>28</v>
      </c>
    </row>
    <row r="30" spans="1:12" x14ac:dyDescent="0.2">
      <c r="A30" s="1">
        <v>45309</v>
      </c>
      <c r="B30">
        <v>5</v>
      </c>
      <c r="C30">
        <v>28</v>
      </c>
      <c r="D30">
        <v>30</v>
      </c>
      <c r="E30">
        <v>37</v>
      </c>
      <c r="F30">
        <v>38</v>
      </c>
      <c r="G30">
        <v>41</v>
      </c>
      <c r="H30">
        <v>43</v>
      </c>
      <c r="J30">
        <v>32</v>
      </c>
      <c r="K30">
        <f ca="1">COUNTIFS(draws_tbl[Date],"&gt;="&amp;$P$1,draws_tbl[Winning Number 1],$J30)+COUNTIFS(draws_tbl[Date],"&gt;="&amp;$P$1,draws_tbl[Winning Number 2],$J30)+COUNTIFS(draws_tbl[Date],"&gt;="&amp;$P$1,draws_tbl[Winning Number 3],$J30)+COUNTIFS(draws_tbl[Date],"&gt;="&amp;$P$1,draws_tbl[Winning Number 4],$J30)+COUNTIFS(draws_tbl[Date],"&gt;="&amp;$P$1,draws_tbl[Winning Number 5],$J30)+COUNTIFS(draws_tbl[Date],"&gt;="&amp;$P$1,draws_tbl[Winning Number 6],$J30)+COUNTIFS(draws_tbl[Date],"&gt;="&amp;$P$1,draws_tbl[Additional Number],$J30)</f>
        <v>68</v>
      </c>
      <c r="L30">
        <f ca="1">_xlfn.RANK.EQ(K30,$K$2:$K$50,0)+COUNTIF($K$2:K30,K30)-1</f>
        <v>31</v>
      </c>
    </row>
    <row r="31" spans="1:12" x14ac:dyDescent="0.2">
      <c r="A31" s="1">
        <v>45306</v>
      </c>
      <c r="B31">
        <v>24</v>
      </c>
      <c r="C31">
        <v>25</v>
      </c>
      <c r="D31">
        <v>26</v>
      </c>
      <c r="E31">
        <v>28</v>
      </c>
      <c r="F31">
        <v>30</v>
      </c>
      <c r="G31">
        <v>35</v>
      </c>
      <c r="H31">
        <v>4</v>
      </c>
      <c r="J31">
        <v>25</v>
      </c>
      <c r="K31">
        <f ca="1">COUNTIFS(draws_tbl[Date],"&gt;="&amp;$P$1,draws_tbl[Winning Number 1],$J31)+COUNTIFS(draws_tbl[Date],"&gt;="&amp;$P$1,draws_tbl[Winning Number 2],$J31)+COUNTIFS(draws_tbl[Date],"&gt;="&amp;$P$1,draws_tbl[Winning Number 3],$J31)+COUNTIFS(draws_tbl[Date],"&gt;="&amp;$P$1,draws_tbl[Winning Number 4],$J31)+COUNTIFS(draws_tbl[Date],"&gt;="&amp;$P$1,draws_tbl[Winning Number 5],$J31)+COUNTIFS(draws_tbl[Date],"&gt;="&amp;$P$1,draws_tbl[Winning Number 6],$J31)+COUNTIFS(draws_tbl[Date],"&gt;="&amp;$P$1,draws_tbl[Additional Number],$J31)</f>
        <v>68</v>
      </c>
      <c r="L31">
        <f ca="1">_xlfn.RANK.EQ(K31,$K$2:$K$50,0)+COUNTIF($K$2:K31,K31)-1</f>
        <v>32</v>
      </c>
    </row>
    <row r="32" spans="1:12" x14ac:dyDescent="0.2">
      <c r="A32" s="1">
        <v>45302</v>
      </c>
      <c r="B32">
        <v>2</v>
      </c>
      <c r="C32">
        <v>9</v>
      </c>
      <c r="D32">
        <v>10</v>
      </c>
      <c r="E32">
        <v>43</v>
      </c>
      <c r="F32">
        <v>45</v>
      </c>
      <c r="G32">
        <v>46</v>
      </c>
      <c r="H32">
        <v>13</v>
      </c>
      <c r="J32">
        <v>41</v>
      </c>
      <c r="K32">
        <f ca="1">COUNTIFS(draws_tbl[Date],"&gt;="&amp;$P$1,draws_tbl[Winning Number 1],$J32)+COUNTIFS(draws_tbl[Date],"&gt;="&amp;$P$1,draws_tbl[Winning Number 2],$J32)+COUNTIFS(draws_tbl[Date],"&gt;="&amp;$P$1,draws_tbl[Winning Number 3],$J32)+COUNTIFS(draws_tbl[Date],"&gt;="&amp;$P$1,draws_tbl[Winning Number 4],$J32)+COUNTIFS(draws_tbl[Date],"&gt;="&amp;$P$1,draws_tbl[Winning Number 5],$J32)+COUNTIFS(draws_tbl[Date],"&gt;="&amp;$P$1,draws_tbl[Winning Number 6],$J32)+COUNTIFS(draws_tbl[Date],"&gt;="&amp;$P$1,draws_tbl[Additional Number],$J32)</f>
        <v>69</v>
      </c>
      <c r="L32">
        <f ca="1">_xlfn.RANK.EQ(K32,$K$2:$K$50,0)+COUNTIF($K$2:K32,K32)-1</f>
        <v>29</v>
      </c>
    </row>
    <row r="33" spans="1:12" x14ac:dyDescent="0.2">
      <c r="A33" s="1">
        <v>45299</v>
      </c>
      <c r="B33">
        <v>11</v>
      </c>
      <c r="C33">
        <v>20</v>
      </c>
      <c r="D33">
        <v>28</v>
      </c>
      <c r="E33">
        <v>30</v>
      </c>
      <c r="F33">
        <v>36</v>
      </c>
      <c r="G33">
        <v>38</v>
      </c>
      <c r="H33">
        <v>37</v>
      </c>
      <c r="J33">
        <v>47</v>
      </c>
      <c r="K33">
        <f ca="1">COUNTIFS(draws_tbl[Date],"&gt;="&amp;$P$1,draws_tbl[Winning Number 1],$J33)+COUNTIFS(draws_tbl[Date],"&gt;="&amp;$P$1,draws_tbl[Winning Number 2],$J33)+COUNTIFS(draws_tbl[Date],"&gt;="&amp;$P$1,draws_tbl[Winning Number 3],$J33)+COUNTIFS(draws_tbl[Date],"&gt;="&amp;$P$1,draws_tbl[Winning Number 4],$J33)+COUNTIFS(draws_tbl[Date],"&gt;="&amp;$P$1,draws_tbl[Winning Number 5],$J33)+COUNTIFS(draws_tbl[Date],"&gt;="&amp;$P$1,draws_tbl[Winning Number 6],$J33)+COUNTIFS(draws_tbl[Date],"&gt;="&amp;$P$1,draws_tbl[Additional Number],$J33)</f>
        <v>68</v>
      </c>
      <c r="L33">
        <f ca="1">_xlfn.RANK.EQ(K33,$K$2:$K$50,0)+COUNTIF($K$2:K33,K33)-1</f>
        <v>33</v>
      </c>
    </row>
    <row r="34" spans="1:12" x14ac:dyDescent="0.2">
      <c r="A34" s="1">
        <v>45296</v>
      </c>
      <c r="B34">
        <v>7</v>
      </c>
      <c r="C34">
        <v>12</v>
      </c>
      <c r="D34">
        <v>17</v>
      </c>
      <c r="E34">
        <v>20</v>
      </c>
      <c r="F34">
        <v>31</v>
      </c>
      <c r="G34">
        <v>35</v>
      </c>
      <c r="H34">
        <v>22</v>
      </c>
      <c r="J34">
        <v>16</v>
      </c>
      <c r="K34">
        <f ca="1">COUNTIFS(draws_tbl[Date],"&gt;="&amp;$P$1,draws_tbl[Winning Number 1],$J34)+COUNTIFS(draws_tbl[Date],"&gt;="&amp;$P$1,draws_tbl[Winning Number 2],$J34)+COUNTIFS(draws_tbl[Date],"&gt;="&amp;$P$1,draws_tbl[Winning Number 3],$J34)+COUNTIFS(draws_tbl[Date],"&gt;="&amp;$P$1,draws_tbl[Winning Number 4],$J34)+COUNTIFS(draws_tbl[Date],"&gt;="&amp;$P$1,draws_tbl[Winning Number 5],$J34)+COUNTIFS(draws_tbl[Date],"&gt;="&amp;$P$1,draws_tbl[Winning Number 6],$J34)+COUNTIFS(draws_tbl[Date],"&gt;="&amp;$P$1,draws_tbl[Additional Number],$J34)</f>
        <v>69</v>
      </c>
      <c r="L34">
        <f ca="1">_xlfn.RANK.EQ(K34,$K$2:$K$50,0)+COUNTIF($K$2:K34,K34)-1</f>
        <v>30</v>
      </c>
    </row>
    <row r="35" spans="1:12" x14ac:dyDescent="0.2">
      <c r="A35" s="1">
        <v>45292</v>
      </c>
      <c r="B35">
        <v>8</v>
      </c>
      <c r="C35">
        <v>16</v>
      </c>
      <c r="D35">
        <v>23</v>
      </c>
      <c r="E35">
        <v>24</v>
      </c>
      <c r="F35">
        <v>36</v>
      </c>
      <c r="G35">
        <v>48</v>
      </c>
      <c r="H35">
        <v>5</v>
      </c>
      <c r="J35">
        <v>43</v>
      </c>
      <c r="K35">
        <f ca="1">COUNTIFS(draws_tbl[Date],"&gt;="&amp;$P$1,draws_tbl[Winning Number 1],$J35)+COUNTIFS(draws_tbl[Date],"&gt;="&amp;$P$1,draws_tbl[Winning Number 2],$J35)+COUNTIFS(draws_tbl[Date],"&gt;="&amp;$P$1,draws_tbl[Winning Number 3],$J35)+COUNTIFS(draws_tbl[Date],"&gt;="&amp;$P$1,draws_tbl[Winning Number 4],$J35)+COUNTIFS(draws_tbl[Date],"&gt;="&amp;$P$1,draws_tbl[Winning Number 5],$J35)+COUNTIFS(draws_tbl[Date],"&gt;="&amp;$P$1,draws_tbl[Winning Number 6],$J35)+COUNTIFS(draws_tbl[Date],"&gt;="&amp;$P$1,draws_tbl[Additional Number],$J35)</f>
        <v>67</v>
      </c>
      <c r="L35">
        <f ca="1">_xlfn.RANK.EQ(K35,$K$2:$K$50,0)+COUNTIF($K$2:K35,K35)-1</f>
        <v>34</v>
      </c>
    </row>
    <row r="36" spans="1:12" x14ac:dyDescent="0.2">
      <c r="A36" s="1">
        <v>45288</v>
      </c>
      <c r="B36">
        <v>13</v>
      </c>
      <c r="C36">
        <v>17</v>
      </c>
      <c r="D36">
        <v>18</v>
      </c>
      <c r="E36">
        <v>24</v>
      </c>
      <c r="F36">
        <v>37</v>
      </c>
      <c r="G36">
        <v>41</v>
      </c>
      <c r="H36">
        <v>15</v>
      </c>
      <c r="J36">
        <v>31</v>
      </c>
      <c r="K36">
        <f ca="1">COUNTIFS(draws_tbl[Date],"&gt;="&amp;$P$1,draws_tbl[Winning Number 1],$J36)+COUNTIFS(draws_tbl[Date],"&gt;="&amp;$P$1,draws_tbl[Winning Number 2],$J36)+COUNTIFS(draws_tbl[Date],"&gt;="&amp;$P$1,draws_tbl[Winning Number 3],$J36)+COUNTIFS(draws_tbl[Date],"&gt;="&amp;$P$1,draws_tbl[Winning Number 4],$J36)+COUNTIFS(draws_tbl[Date],"&gt;="&amp;$P$1,draws_tbl[Winning Number 5],$J36)+COUNTIFS(draws_tbl[Date],"&gt;="&amp;$P$1,draws_tbl[Winning Number 6],$J36)+COUNTIFS(draws_tbl[Date],"&gt;="&amp;$P$1,draws_tbl[Additional Number],$J36)</f>
        <v>66</v>
      </c>
      <c r="L36">
        <f ca="1">_xlfn.RANK.EQ(K36,$K$2:$K$50,0)+COUNTIF($K$2:K36,K36)-1</f>
        <v>37</v>
      </c>
    </row>
    <row r="37" spans="1:12" x14ac:dyDescent="0.2">
      <c r="A37" s="1">
        <v>45285</v>
      </c>
      <c r="B37">
        <v>11</v>
      </c>
      <c r="C37">
        <v>12</v>
      </c>
      <c r="D37">
        <v>19</v>
      </c>
      <c r="E37">
        <v>23</v>
      </c>
      <c r="F37">
        <v>25</v>
      </c>
      <c r="G37">
        <v>41</v>
      </c>
      <c r="H37">
        <v>47</v>
      </c>
      <c r="J37">
        <v>13</v>
      </c>
      <c r="K37">
        <f ca="1">COUNTIFS(draws_tbl[Date],"&gt;="&amp;$P$1,draws_tbl[Winning Number 1],$J37)+COUNTIFS(draws_tbl[Date],"&gt;="&amp;$P$1,draws_tbl[Winning Number 2],$J37)+COUNTIFS(draws_tbl[Date],"&gt;="&amp;$P$1,draws_tbl[Winning Number 3],$J37)+COUNTIFS(draws_tbl[Date],"&gt;="&amp;$P$1,draws_tbl[Winning Number 4],$J37)+COUNTIFS(draws_tbl[Date],"&gt;="&amp;$P$1,draws_tbl[Winning Number 5],$J37)+COUNTIFS(draws_tbl[Date],"&gt;="&amp;$P$1,draws_tbl[Winning Number 6],$J37)+COUNTIFS(draws_tbl[Date],"&gt;="&amp;$P$1,draws_tbl[Additional Number],$J37)</f>
        <v>66</v>
      </c>
      <c r="L37">
        <f ca="1">_xlfn.RANK.EQ(K37,$K$2:$K$50,0)+COUNTIF($K$2:K37,K37)-1</f>
        <v>38</v>
      </c>
    </row>
    <row r="38" spans="1:12" x14ac:dyDescent="0.2">
      <c r="A38" s="1">
        <v>45281</v>
      </c>
      <c r="B38">
        <v>7</v>
      </c>
      <c r="C38">
        <v>8</v>
      </c>
      <c r="D38">
        <v>24</v>
      </c>
      <c r="E38">
        <v>25</v>
      </c>
      <c r="F38">
        <v>29</v>
      </c>
      <c r="G38">
        <v>40</v>
      </c>
      <c r="H38">
        <v>18</v>
      </c>
      <c r="J38">
        <v>21</v>
      </c>
      <c r="K38">
        <f ca="1">COUNTIFS(draws_tbl[Date],"&gt;="&amp;$P$1,draws_tbl[Winning Number 1],$J38)+COUNTIFS(draws_tbl[Date],"&gt;="&amp;$P$1,draws_tbl[Winning Number 2],$J38)+COUNTIFS(draws_tbl[Date],"&gt;="&amp;$P$1,draws_tbl[Winning Number 3],$J38)+COUNTIFS(draws_tbl[Date],"&gt;="&amp;$P$1,draws_tbl[Winning Number 4],$J38)+COUNTIFS(draws_tbl[Date],"&gt;="&amp;$P$1,draws_tbl[Winning Number 5],$J38)+COUNTIFS(draws_tbl[Date],"&gt;="&amp;$P$1,draws_tbl[Winning Number 6],$J38)+COUNTIFS(draws_tbl[Date],"&gt;="&amp;$P$1,draws_tbl[Additional Number],$J38)</f>
        <v>66</v>
      </c>
      <c r="L38">
        <f ca="1">_xlfn.RANK.EQ(K38,$K$2:$K$50,0)+COUNTIF($K$2:K38,K38)-1</f>
        <v>39</v>
      </c>
    </row>
    <row r="39" spans="1:12" x14ac:dyDescent="0.2">
      <c r="A39" s="1">
        <v>45278</v>
      </c>
      <c r="B39">
        <v>12</v>
      </c>
      <c r="C39">
        <v>15</v>
      </c>
      <c r="D39">
        <v>16</v>
      </c>
      <c r="E39">
        <v>23</v>
      </c>
      <c r="F39">
        <v>24</v>
      </c>
      <c r="G39">
        <v>38</v>
      </c>
      <c r="H39">
        <v>44</v>
      </c>
      <c r="J39">
        <v>23</v>
      </c>
      <c r="K39">
        <f ca="1">COUNTIFS(draws_tbl[Date],"&gt;="&amp;$P$1,draws_tbl[Winning Number 1],$J39)+COUNTIFS(draws_tbl[Date],"&gt;="&amp;$P$1,draws_tbl[Winning Number 2],$J39)+COUNTIFS(draws_tbl[Date],"&gt;="&amp;$P$1,draws_tbl[Winning Number 3],$J39)+COUNTIFS(draws_tbl[Date],"&gt;="&amp;$P$1,draws_tbl[Winning Number 4],$J39)+COUNTIFS(draws_tbl[Date],"&gt;="&amp;$P$1,draws_tbl[Winning Number 5],$J39)+COUNTIFS(draws_tbl[Date],"&gt;="&amp;$P$1,draws_tbl[Winning Number 6],$J39)+COUNTIFS(draws_tbl[Date],"&gt;="&amp;$P$1,draws_tbl[Additional Number],$J39)</f>
        <v>66</v>
      </c>
      <c r="L39">
        <f ca="1">_xlfn.RANK.EQ(K39,$K$2:$K$50,0)+COUNTIF($K$2:K39,K39)-1</f>
        <v>40</v>
      </c>
    </row>
    <row r="40" spans="1:12" x14ac:dyDescent="0.2">
      <c r="A40" s="1">
        <v>45274</v>
      </c>
      <c r="B40">
        <v>22</v>
      </c>
      <c r="C40">
        <v>32</v>
      </c>
      <c r="D40">
        <v>34</v>
      </c>
      <c r="E40">
        <v>39</v>
      </c>
      <c r="F40">
        <v>40</v>
      </c>
      <c r="G40">
        <v>42</v>
      </c>
      <c r="H40">
        <v>5</v>
      </c>
      <c r="J40">
        <v>29</v>
      </c>
      <c r="K40">
        <f ca="1">COUNTIFS(draws_tbl[Date],"&gt;="&amp;$P$1,draws_tbl[Winning Number 1],$J40)+COUNTIFS(draws_tbl[Date],"&gt;="&amp;$P$1,draws_tbl[Winning Number 2],$J40)+COUNTIFS(draws_tbl[Date],"&gt;="&amp;$P$1,draws_tbl[Winning Number 3],$J40)+COUNTIFS(draws_tbl[Date],"&gt;="&amp;$P$1,draws_tbl[Winning Number 4],$J40)+COUNTIFS(draws_tbl[Date],"&gt;="&amp;$P$1,draws_tbl[Winning Number 5],$J40)+COUNTIFS(draws_tbl[Date],"&gt;="&amp;$P$1,draws_tbl[Winning Number 6],$J40)+COUNTIFS(draws_tbl[Date],"&gt;="&amp;$P$1,draws_tbl[Additional Number],$J40)</f>
        <v>67</v>
      </c>
      <c r="L40">
        <f ca="1">_xlfn.RANK.EQ(K40,$K$2:$K$50,0)+COUNTIF($K$2:K40,K40)-1</f>
        <v>35</v>
      </c>
    </row>
    <row r="41" spans="1:12" x14ac:dyDescent="0.2">
      <c r="A41" s="1">
        <v>45271</v>
      </c>
      <c r="B41">
        <v>9</v>
      </c>
      <c r="C41">
        <v>12</v>
      </c>
      <c r="D41">
        <v>21</v>
      </c>
      <c r="E41">
        <v>22</v>
      </c>
      <c r="F41">
        <v>44</v>
      </c>
      <c r="G41">
        <v>47</v>
      </c>
      <c r="H41">
        <v>31</v>
      </c>
      <c r="J41">
        <v>19</v>
      </c>
      <c r="K41">
        <f ca="1">COUNTIFS(draws_tbl[Date],"&gt;="&amp;$P$1,draws_tbl[Winning Number 1],$J41)+COUNTIFS(draws_tbl[Date],"&gt;="&amp;$P$1,draws_tbl[Winning Number 2],$J41)+COUNTIFS(draws_tbl[Date],"&gt;="&amp;$P$1,draws_tbl[Winning Number 3],$J41)+COUNTIFS(draws_tbl[Date],"&gt;="&amp;$P$1,draws_tbl[Winning Number 4],$J41)+COUNTIFS(draws_tbl[Date],"&gt;="&amp;$P$1,draws_tbl[Winning Number 5],$J41)+COUNTIFS(draws_tbl[Date],"&gt;="&amp;$P$1,draws_tbl[Winning Number 6],$J41)+COUNTIFS(draws_tbl[Date],"&gt;="&amp;$P$1,draws_tbl[Additional Number],$J41)</f>
        <v>64</v>
      </c>
      <c r="L41">
        <f ca="1">_xlfn.RANK.EQ(K41,$K$2:$K$50,0)+COUNTIF($K$2:K41,K41)-1</f>
        <v>42</v>
      </c>
    </row>
    <row r="42" spans="1:12" x14ac:dyDescent="0.2">
      <c r="A42" s="1">
        <v>45267</v>
      </c>
      <c r="B42">
        <v>10</v>
      </c>
      <c r="C42">
        <v>16</v>
      </c>
      <c r="D42">
        <v>25</v>
      </c>
      <c r="E42">
        <v>29</v>
      </c>
      <c r="F42">
        <v>42</v>
      </c>
      <c r="G42">
        <v>44</v>
      </c>
      <c r="H42">
        <v>48</v>
      </c>
      <c r="J42">
        <v>9</v>
      </c>
      <c r="K42">
        <f ca="1">COUNTIFS(draws_tbl[Date],"&gt;="&amp;$P$1,draws_tbl[Winning Number 1],$J42)+COUNTIFS(draws_tbl[Date],"&gt;="&amp;$P$1,draws_tbl[Winning Number 2],$J42)+COUNTIFS(draws_tbl[Date],"&gt;="&amp;$P$1,draws_tbl[Winning Number 3],$J42)+COUNTIFS(draws_tbl[Date],"&gt;="&amp;$P$1,draws_tbl[Winning Number 4],$J42)+COUNTIFS(draws_tbl[Date],"&gt;="&amp;$P$1,draws_tbl[Winning Number 5],$J42)+COUNTIFS(draws_tbl[Date],"&gt;="&amp;$P$1,draws_tbl[Winning Number 6],$J42)+COUNTIFS(draws_tbl[Date],"&gt;="&amp;$P$1,draws_tbl[Additional Number],$J42)</f>
        <v>66</v>
      </c>
      <c r="L42">
        <f ca="1">_xlfn.RANK.EQ(K42,$K$2:$K$50,0)+COUNTIF($K$2:K42,K42)-1</f>
        <v>41</v>
      </c>
    </row>
    <row r="43" spans="1:12" x14ac:dyDescent="0.2">
      <c r="A43" s="1">
        <v>45264</v>
      </c>
      <c r="B43">
        <v>6</v>
      </c>
      <c r="C43">
        <v>18</v>
      </c>
      <c r="D43">
        <v>26</v>
      </c>
      <c r="E43">
        <v>31</v>
      </c>
      <c r="F43">
        <v>37</v>
      </c>
      <c r="G43">
        <v>38</v>
      </c>
      <c r="H43">
        <v>22</v>
      </c>
      <c r="J43">
        <v>18</v>
      </c>
      <c r="K43">
        <f ca="1">COUNTIFS(draws_tbl[Date],"&gt;="&amp;$P$1,draws_tbl[Winning Number 1],$J43)+COUNTIFS(draws_tbl[Date],"&gt;="&amp;$P$1,draws_tbl[Winning Number 2],$J43)+COUNTIFS(draws_tbl[Date],"&gt;="&amp;$P$1,draws_tbl[Winning Number 3],$J43)+COUNTIFS(draws_tbl[Date],"&gt;="&amp;$P$1,draws_tbl[Winning Number 4],$J43)+COUNTIFS(draws_tbl[Date],"&gt;="&amp;$P$1,draws_tbl[Winning Number 5],$J43)+COUNTIFS(draws_tbl[Date],"&gt;="&amp;$P$1,draws_tbl[Winning Number 6],$J43)+COUNTIFS(draws_tbl[Date],"&gt;="&amp;$P$1,draws_tbl[Additional Number],$J43)</f>
        <v>67</v>
      </c>
      <c r="L43">
        <f ca="1">_xlfn.RANK.EQ(K43,$K$2:$K$50,0)+COUNTIF($K$2:K43,K43)-1</f>
        <v>36</v>
      </c>
    </row>
    <row r="44" spans="1:12" x14ac:dyDescent="0.2">
      <c r="A44" s="1">
        <v>45260</v>
      </c>
      <c r="B44">
        <v>3</v>
      </c>
      <c r="C44">
        <v>32</v>
      </c>
      <c r="D44">
        <v>34</v>
      </c>
      <c r="E44">
        <v>38</v>
      </c>
      <c r="F44">
        <v>41</v>
      </c>
      <c r="G44">
        <v>42</v>
      </c>
      <c r="H44">
        <v>17</v>
      </c>
      <c r="J44">
        <v>33</v>
      </c>
      <c r="K44">
        <f ca="1">COUNTIFS(draws_tbl[Date],"&gt;="&amp;$P$1,draws_tbl[Winning Number 1],$J44)+COUNTIFS(draws_tbl[Date],"&gt;="&amp;$P$1,draws_tbl[Winning Number 2],$J44)+COUNTIFS(draws_tbl[Date],"&gt;="&amp;$P$1,draws_tbl[Winning Number 3],$J44)+COUNTIFS(draws_tbl[Date],"&gt;="&amp;$P$1,draws_tbl[Winning Number 4],$J44)+COUNTIFS(draws_tbl[Date],"&gt;="&amp;$P$1,draws_tbl[Winning Number 5],$J44)+COUNTIFS(draws_tbl[Date],"&gt;="&amp;$P$1,draws_tbl[Winning Number 6],$J44)+COUNTIFS(draws_tbl[Date],"&gt;="&amp;$P$1,draws_tbl[Additional Number],$J44)</f>
        <v>63</v>
      </c>
      <c r="L44">
        <f ca="1">_xlfn.RANK.EQ(K44,$K$2:$K$50,0)+COUNTIF($K$2:K44,K44)-1</f>
        <v>43</v>
      </c>
    </row>
    <row r="45" spans="1:12" x14ac:dyDescent="0.2">
      <c r="A45" s="1">
        <v>45257</v>
      </c>
      <c r="B45">
        <v>16</v>
      </c>
      <c r="C45">
        <v>19</v>
      </c>
      <c r="D45">
        <v>20</v>
      </c>
      <c r="E45">
        <v>26</v>
      </c>
      <c r="F45">
        <v>33</v>
      </c>
      <c r="G45">
        <v>40</v>
      </c>
      <c r="H45">
        <v>23</v>
      </c>
      <c r="J45">
        <v>2</v>
      </c>
      <c r="K45">
        <f ca="1">COUNTIFS(draws_tbl[Date],"&gt;="&amp;$P$1,draws_tbl[Winning Number 1],$J45)+COUNTIFS(draws_tbl[Date],"&gt;="&amp;$P$1,draws_tbl[Winning Number 2],$J45)+COUNTIFS(draws_tbl[Date],"&gt;="&amp;$P$1,draws_tbl[Winning Number 3],$J45)+COUNTIFS(draws_tbl[Date],"&gt;="&amp;$P$1,draws_tbl[Winning Number 4],$J45)+COUNTIFS(draws_tbl[Date],"&gt;="&amp;$P$1,draws_tbl[Winning Number 5],$J45)+COUNTIFS(draws_tbl[Date],"&gt;="&amp;$P$1,draws_tbl[Winning Number 6],$J45)+COUNTIFS(draws_tbl[Date],"&gt;="&amp;$P$1,draws_tbl[Additional Number],$J45)</f>
        <v>62</v>
      </c>
      <c r="L45">
        <f ca="1">_xlfn.RANK.EQ(K45,$K$2:$K$50,0)+COUNTIF($K$2:K45,K45)-1</f>
        <v>44</v>
      </c>
    </row>
    <row r="46" spans="1:12" x14ac:dyDescent="0.2">
      <c r="A46" s="1">
        <v>45253</v>
      </c>
      <c r="B46">
        <v>2</v>
      </c>
      <c r="C46">
        <v>24</v>
      </c>
      <c r="D46">
        <v>30</v>
      </c>
      <c r="E46">
        <v>37</v>
      </c>
      <c r="F46">
        <v>43</v>
      </c>
      <c r="G46">
        <v>45</v>
      </c>
      <c r="H46">
        <v>35</v>
      </c>
      <c r="J46">
        <v>46</v>
      </c>
      <c r="K46">
        <f ca="1">COUNTIFS(draws_tbl[Date],"&gt;="&amp;$P$1,draws_tbl[Winning Number 1],$J46)+COUNTIFS(draws_tbl[Date],"&gt;="&amp;$P$1,draws_tbl[Winning Number 2],$J46)+COUNTIFS(draws_tbl[Date],"&gt;="&amp;$P$1,draws_tbl[Winning Number 3],$J46)+COUNTIFS(draws_tbl[Date],"&gt;="&amp;$P$1,draws_tbl[Winning Number 4],$J46)+COUNTIFS(draws_tbl[Date],"&gt;="&amp;$P$1,draws_tbl[Winning Number 5],$J46)+COUNTIFS(draws_tbl[Date],"&gt;="&amp;$P$1,draws_tbl[Winning Number 6],$J46)+COUNTIFS(draws_tbl[Date],"&gt;="&amp;$P$1,draws_tbl[Additional Number],$J46)</f>
        <v>61</v>
      </c>
      <c r="L46">
        <f ca="1">_xlfn.RANK.EQ(K46,$K$2:$K$50,0)+COUNTIF($K$2:K46,K46)-1</f>
        <v>46</v>
      </c>
    </row>
    <row r="47" spans="1:12" x14ac:dyDescent="0.2">
      <c r="A47" s="1">
        <v>45250</v>
      </c>
      <c r="B47">
        <v>12</v>
      </c>
      <c r="C47">
        <v>13</v>
      </c>
      <c r="D47">
        <v>18</v>
      </c>
      <c r="E47">
        <v>22</v>
      </c>
      <c r="F47">
        <v>25</v>
      </c>
      <c r="G47">
        <v>28</v>
      </c>
      <c r="H47">
        <v>47</v>
      </c>
      <c r="J47">
        <v>11</v>
      </c>
      <c r="K47">
        <f ca="1">COUNTIFS(draws_tbl[Date],"&gt;="&amp;$P$1,draws_tbl[Winning Number 1],$J47)+COUNTIFS(draws_tbl[Date],"&gt;="&amp;$P$1,draws_tbl[Winning Number 2],$J47)+COUNTIFS(draws_tbl[Date],"&gt;="&amp;$P$1,draws_tbl[Winning Number 3],$J47)+COUNTIFS(draws_tbl[Date],"&gt;="&amp;$P$1,draws_tbl[Winning Number 4],$J47)+COUNTIFS(draws_tbl[Date],"&gt;="&amp;$P$1,draws_tbl[Winning Number 5],$J47)+COUNTIFS(draws_tbl[Date],"&gt;="&amp;$P$1,draws_tbl[Winning Number 6],$J47)+COUNTIFS(draws_tbl[Date],"&gt;="&amp;$P$1,draws_tbl[Additional Number],$J47)</f>
        <v>62</v>
      </c>
      <c r="L47">
        <f ca="1">_xlfn.RANK.EQ(K47,$K$2:$K$50,0)+COUNTIF($K$2:K47,K47)-1</f>
        <v>45</v>
      </c>
    </row>
    <row r="48" spans="1:12" x14ac:dyDescent="0.2">
      <c r="A48" s="1">
        <v>45246</v>
      </c>
      <c r="B48">
        <v>10</v>
      </c>
      <c r="C48">
        <v>13</v>
      </c>
      <c r="D48">
        <v>15</v>
      </c>
      <c r="E48">
        <v>28</v>
      </c>
      <c r="F48">
        <v>29</v>
      </c>
      <c r="G48">
        <v>37</v>
      </c>
      <c r="H48">
        <v>22</v>
      </c>
      <c r="J48">
        <v>14</v>
      </c>
      <c r="K48">
        <f ca="1">COUNTIFS(draws_tbl[Date],"&gt;="&amp;$P$1,draws_tbl[Winning Number 1],$J48)+COUNTIFS(draws_tbl[Date],"&gt;="&amp;$P$1,draws_tbl[Winning Number 2],$J48)+COUNTIFS(draws_tbl[Date],"&gt;="&amp;$P$1,draws_tbl[Winning Number 3],$J48)+COUNTIFS(draws_tbl[Date],"&gt;="&amp;$P$1,draws_tbl[Winning Number 4],$J48)+COUNTIFS(draws_tbl[Date],"&gt;="&amp;$P$1,draws_tbl[Winning Number 5],$J48)+COUNTIFS(draws_tbl[Date],"&gt;="&amp;$P$1,draws_tbl[Winning Number 6],$J48)+COUNTIFS(draws_tbl[Date],"&gt;="&amp;$P$1,draws_tbl[Additional Number],$J48)</f>
        <v>57</v>
      </c>
      <c r="L48">
        <f ca="1">_xlfn.RANK.EQ(K48,$K$2:$K$50,0)+COUNTIF($K$2:K48,K48)-1</f>
        <v>47</v>
      </c>
    </row>
    <row r="49" spans="1:12" x14ac:dyDescent="0.2">
      <c r="A49" s="1">
        <v>45243</v>
      </c>
      <c r="B49">
        <v>6</v>
      </c>
      <c r="C49">
        <v>10</v>
      </c>
      <c r="D49">
        <v>16</v>
      </c>
      <c r="E49">
        <v>24</v>
      </c>
      <c r="F49">
        <v>27</v>
      </c>
      <c r="G49">
        <v>43</v>
      </c>
      <c r="H49">
        <v>31</v>
      </c>
      <c r="J49">
        <v>39</v>
      </c>
      <c r="K49">
        <f ca="1">COUNTIFS(draws_tbl[Date],"&gt;="&amp;$P$1,draws_tbl[Winning Number 1],$J49)+COUNTIFS(draws_tbl[Date],"&gt;="&amp;$P$1,draws_tbl[Winning Number 2],$J49)+COUNTIFS(draws_tbl[Date],"&gt;="&amp;$P$1,draws_tbl[Winning Number 3],$J49)+COUNTIFS(draws_tbl[Date],"&gt;="&amp;$P$1,draws_tbl[Winning Number 4],$J49)+COUNTIFS(draws_tbl[Date],"&gt;="&amp;$P$1,draws_tbl[Winning Number 5],$J49)+COUNTIFS(draws_tbl[Date],"&gt;="&amp;$P$1,draws_tbl[Winning Number 6],$J49)+COUNTIFS(draws_tbl[Date],"&gt;="&amp;$P$1,draws_tbl[Additional Number],$J49)</f>
        <v>55</v>
      </c>
      <c r="L49">
        <f ca="1">_xlfn.RANK.EQ(K49,$K$2:$K$50,0)+COUNTIF($K$2:K49,K49)-1</f>
        <v>49</v>
      </c>
    </row>
    <row r="50" spans="1:12" x14ac:dyDescent="0.2">
      <c r="A50" s="1">
        <v>45239</v>
      </c>
      <c r="B50">
        <v>2</v>
      </c>
      <c r="C50">
        <v>3</v>
      </c>
      <c r="D50">
        <v>11</v>
      </c>
      <c r="E50">
        <v>17</v>
      </c>
      <c r="F50">
        <v>35</v>
      </c>
      <c r="G50">
        <v>40</v>
      </c>
      <c r="H50">
        <v>45</v>
      </c>
      <c r="J50">
        <v>17</v>
      </c>
      <c r="K50">
        <f ca="1">COUNTIFS(draws_tbl[Date],"&gt;="&amp;$P$1,draws_tbl[Winning Number 1],$J50)+COUNTIFS(draws_tbl[Date],"&gt;="&amp;$P$1,draws_tbl[Winning Number 2],$J50)+COUNTIFS(draws_tbl[Date],"&gt;="&amp;$P$1,draws_tbl[Winning Number 3],$J50)+COUNTIFS(draws_tbl[Date],"&gt;="&amp;$P$1,draws_tbl[Winning Number 4],$J50)+COUNTIFS(draws_tbl[Date],"&gt;="&amp;$P$1,draws_tbl[Winning Number 5],$J50)+COUNTIFS(draws_tbl[Date],"&gt;="&amp;$P$1,draws_tbl[Winning Number 6],$J50)+COUNTIFS(draws_tbl[Date],"&gt;="&amp;$P$1,draws_tbl[Additional Number],$J50)</f>
        <v>57</v>
      </c>
      <c r="L50">
        <f ca="1">_xlfn.RANK.EQ(K50,$K$2:$K$50,0)+COUNTIF($K$2:K50,K50)-1</f>
        <v>48</v>
      </c>
    </row>
    <row r="51" spans="1:12" x14ac:dyDescent="0.2">
      <c r="A51" s="1">
        <v>45236</v>
      </c>
      <c r="B51">
        <v>11</v>
      </c>
      <c r="C51">
        <v>20</v>
      </c>
      <c r="D51">
        <v>22</v>
      </c>
      <c r="E51">
        <v>28</v>
      </c>
      <c r="F51">
        <v>32</v>
      </c>
      <c r="G51">
        <v>37</v>
      </c>
      <c r="H51">
        <v>4</v>
      </c>
    </row>
    <row r="52" spans="1:12" x14ac:dyDescent="0.2">
      <c r="A52" s="1">
        <v>45232</v>
      </c>
      <c r="B52">
        <v>3</v>
      </c>
      <c r="C52">
        <v>12</v>
      </c>
      <c r="D52">
        <v>22</v>
      </c>
      <c r="E52">
        <v>29</v>
      </c>
      <c r="F52">
        <v>35</v>
      </c>
      <c r="G52">
        <v>42</v>
      </c>
      <c r="H52">
        <v>49</v>
      </c>
    </row>
    <row r="53" spans="1:12" x14ac:dyDescent="0.2">
      <c r="A53" s="1">
        <v>45229</v>
      </c>
      <c r="B53">
        <v>12</v>
      </c>
      <c r="C53">
        <v>24</v>
      </c>
      <c r="D53">
        <v>26</v>
      </c>
      <c r="E53">
        <v>32</v>
      </c>
      <c r="F53">
        <v>34</v>
      </c>
      <c r="G53">
        <v>38</v>
      </c>
      <c r="H53">
        <v>28</v>
      </c>
    </row>
    <row r="54" spans="1:12" x14ac:dyDescent="0.2">
      <c r="A54" s="1">
        <v>45225</v>
      </c>
      <c r="B54">
        <v>1</v>
      </c>
      <c r="C54">
        <v>6</v>
      </c>
      <c r="D54">
        <v>17</v>
      </c>
      <c r="E54">
        <v>19</v>
      </c>
      <c r="F54">
        <v>34</v>
      </c>
      <c r="G54">
        <v>45</v>
      </c>
      <c r="H54">
        <v>48</v>
      </c>
    </row>
    <row r="55" spans="1:12" x14ac:dyDescent="0.2">
      <c r="A55" s="1">
        <v>45222</v>
      </c>
      <c r="B55">
        <v>2</v>
      </c>
      <c r="C55">
        <v>3</v>
      </c>
      <c r="D55">
        <v>13</v>
      </c>
      <c r="E55">
        <v>15</v>
      </c>
      <c r="F55">
        <v>34</v>
      </c>
      <c r="G55">
        <v>37</v>
      </c>
      <c r="H55">
        <v>8</v>
      </c>
    </row>
    <row r="56" spans="1:12" x14ac:dyDescent="0.2">
      <c r="A56" s="1">
        <v>45218</v>
      </c>
      <c r="B56">
        <v>1</v>
      </c>
      <c r="C56">
        <v>7</v>
      </c>
      <c r="D56">
        <v>16</v>
      </c>
      <c r="E56">
        <v>20</v>
      </c>
      <c r="F56">
        <v>35</v>
      </c>
      <c r="G56">
        <v>41</v>
      </c>
      <c r="H56">
        <v>6</v>
      </c>
    </row>
    <row r="57" spans="1:12" x14ac:dyDescent="0.2">
      <c r="A57" s="1">
        <v>45215</v>
      </c>
      <c r="B57">
        <v>21</v>
      </c>
      <c r="C57">
        <v>27</v>
      </c>
      <c r="D57">
        <v>30</v>
      </c>
      <c r="E57">
        <v>38</v>
      </c>
      <c r="F57">
        <v>40</v>
      </c>
      <c r="G57">
        <v>44</v>
      </c>
      <c r="H57">
        <v>6</v>
      </c>
    </row>
    <row r="58" spans="1:12" x14ac:dyDescent="0.2">
      <c r="A58" s="1">
        <v>45211</v>
      </c>
      <c r="B58">
        <v>14</v>
      </c>
      <c r="C58">
        <v>15</v>
      </c>
      <c r="D58">
        <v>26</v>
      </c>
      <c r="E58">
        <v>35</v>
      </c>
      <c r="F58">
        <v>44</v>
      </c>
      <c r="G58">
        <v>46</v>
      </c>
      <c r="H58">
        <v>43</v>
      </c>
    </row>
    <row r="59" spans="1:12" x14ac:dyDescent="0.2">
      <c r="A59" s="1">
        <v>45208</v>
      </c>
      <c r="B59">
        <v>1</v>
      </c>
      <c r="C59">
        <v>5</v>
      </c>
      <c r="D59">
        <v>9</v>
      </c>
      <c r="E59">
        <v>25</v>
      </c>
      <c r="F59">
        <v>44</v>
      </c>
      <c r="G59">
        <v>49</v>
      </c>
      <c r="H59">
        <v>43</v>
      </c>
    </row>
    <row r="60" spans="1:12" x14ac:dyDescent="0.2">
      <c r="A60" s="1">
        <v>45204</v>
      </c>
      <c r="B60">
        <v>4</v>
      </c>
      <c r="C60">
        <v>7</v>
      </c>
      <c r="D60">
        <v>9</v>
      </c>
      <c r="E60">
        <v>38</v>
      </c>
      <c r="F60">
        <v>41</v>
      </c>
      <c r="G60">
        <v>42</v>
      </c>
      <c r="H60">
        <v>16</v>
      </c>
    </row>
    <row r="61" spans="1:12" x14ac:dyDescent="0.2">
      <c r="A61" s="1">
        <v>45201</v>
      </c>
      <c r="B61">
        <v>2</v>
      </c>
      <c r="C61">
        <v>10</v>
      </c>
      <c r="D61">
        <v>12</v>
      </c>
      <c r="E61">
        <v>13</v>
      </c>
      <c r="F61">
        <v>45</v>
      </c>
      <c r="G61">
        <v>48</v>
      </c>
      <c r="H61">
        <v>11</v>
      </c>
    </row>
    <row r="62" spans="1:12" x14ac:dyDescent="0.2">
      <c r="A62" s="1">
        <v>45197</v>
      </c>
      <c r="B62">
        <v>3</v>
      </c>
      <c r="C62">
        <v>13</v>
      </c>
      <c r="D62">
        <v>23</v>
      </c>
      <c r="E62">
        <v>28</v>
      </c>
      <c r="F62">
        <v>37</v>
      </c>
      <c r="G62">
        <v>38</v>
      </c>
      <c r="H62">
        <v>9</v>
      </c>
    </row>
    <row r="63" spans="1:12" x14ac:dyDescent="0.2">
      <c r="A63" s="1">
        <v>45194</v>
      </c>
      <c r="B63">
        <v>3</v>
      </c>
      <c r="C63">
        <v>14</v>
      </c>
      <c r="D63">
        <v>19</v>
      </c>
      <c r="E63">
        <v>23</v>
      </c>
      <c r="F63">
        <v>28</v>
      </c>
      <c r="G63">
        <v>43</v>
      </c>
      <c r="H63">
        <v>25</v>
      </c>
    </row>
    <row r="64" spans="1:12" x14ac:dyDescent="0.2">
      <c r="A64" s="1">
        <v>45190</v>
      </c>
      <c r="B64">
        <v>2</v>
      </c>
      <c r="C64">
        <v>8</v>
      </c>
      <c r="D64">
        <v>28</v>
      </c>
      <c r="E64">
        <v>31</v>
      </c>
      <c r="F64">
        <v>48</v>
      </c>
      <c r="G64">
        <v>49</v>
      </c>
      <c r="H64">
        <v>37</v>
      </c>
    </row>
    <row r="65" spans="1:8" x14ac:dyDescent="0.2">
      <c r="A65" s="1">
        <v>45187</v>
      </c>
      <c r="B65">
        <v>4</v>
      </c>
      <c r="C65">
        <v>7</v>
      </c>
      <c r="D65">
        <v>27</v>
      </c>
      <c r="E65">
        <v>32</v>
      </c>
      <c r="F65">
        <v>37</v>
      </c>
      <c r="G65">
        <v>49</v>
      </c>
      <c r="H65">
        <v>44</v>
      </c>
    </row>
    <row r="66" spans="1:8" x14ac:dyDescent="0.2">
      <c r="A66" s="1">
        <v>45183</v>
      </c>
      <c r="B66">
        <v>14</v>
      </c>
      <c r="C66">
        <v>18</v>
      </c>
      <c r="D66">
        <v>24</v>
      </c>
      <c r="E66">
        <v>26</v>
      </c>
      <c r="F66">
        <v>37</v>
      </c>
      <c r="G66">
        <v>45</v>
      </c>
      <c r="H66">
        <v>28</v>
      </c>
    </row>
    <row r="67" spans="1:8" x14ac:dyDescent="0.2">
      <c r="A67" s="1">
        <v>45180</v>
      </c>
      <c r="B67">
        <v>1</v>
      </c>
      <c r="C67">
        <v>20</v>
      </c>
      <c r="D67">
        <v>21</v>
      </c>
      <c r="E67">
        <v>27</v>
      </c>
      <c r="F67">
        <v>38</v>
      </c>
      <c r="G67">
        <v>48</v>
      </c>
      <c r="H67">
        <v>17</v>
      </c>
    </row>
    <row r="68" spans="1:8" x14ac:dyDescent="0.2">
      <c r="A68" s="1">
        <v>45176</v>
      </c>
      <c r="B68">
        <v>17</v>
      </c>
      <c r="C68">
        <v>19</v>
      </c>
      <c r="D68">
        <v>24</v>
      </c>
      <c r="E68">
        <v>26</v>
      </c>
      <c r="F68">
        <v>31</v>
      </c>
      <c r="G68">
        <v>46</v>
      </c>
      <c r="H68">
        <v>37</v>
      </c>
    </row>
    <row r="69" spans="1:8" x14ac:dyDescent="0.2">
      <c r="A69" s="1">
        <v>45173</v>
      </c>
      <c r="B69">
        <v>1</v>
      </c>
      <c r="C69">
        <v>4</v>
      </c>
      <c r="D69">
        <v>12</v>
      </c>
      <c r="E69">
        <v>33</v>
      </c>
      <c r="F69">
        <v>45</v>
      </c>
      <c r="G69">
        <v>48</v>
      </c>
      <c r="H69">
        <v>35</v>
      </c>
    </row>
    <row r="70" spans="1:8" x14ac:dyDescent="0.2">
      <c r="A70" s="1">
        <v>45169</v>
      </c>
      <c r="B70">
        <v>14</v>
      </c>
      <c r="C70">
        <v>29</v>
      </c>
      <c r="D70">
        <v>31</v>
      </c>
      <c r="E70">
        <v>39</v>
      </c>
      <c r="F70">
        <v>40</v>
      </c>
      <c r="G70">
        <v>48</v>
      </c>
      <c r="H70">
        <v>47</v>
      </c>
    </row>
    <row r="71" spans="1:8" x14ac:dyDescent="0.2">
      <c r="A71" s="1">
        <v>45166</v>
      </c>
      <c r="B71">
        <v>1</v>
      </c>
      <c r="C71">
        <v>3</v>
      </c>
      <c r="D71">
        <v>7</v>
      </c>
      <c r="E71">
        <v>12</v>
      </c>
      <c r="F71">
        <v>15</v>
      </c>
      <c r="G71">
        <v>32</v>
      </c>
      <c r="H71">
        <v>34</v>
      </c>
    </row>
    <row r="72" spans="1:8" x14ac:dyDescent="0.2">
      <c r="A72" s="1">
        <v>45162</v>
      </c>
      <c r="B72">
        <v>1</v>
      </c>
      <c r="C72">
        <v>13</v>
      </c>
      <c r="D72">
        <v>26</v>
      </c>
      <c r="E72">
        <v>34</v>
      </c>
      <c r="F72">
        <v>37</v>
      </c>
      <c r="G72">
        <v>41</v>
      </c>
      <c r="H72">
        <v>9</v>
      </c>
    </row>
    <row r="73" spans="1:8" x14ac:dyDescent="0.2">
      <c r="A73" s="1">
        <v>45159</v>
      </c>
      <c r="B73">
        <v>1</v>
      </c>
      <c r="C73">
        <v>18</v>
      </c>
      <c r="D73">
        <v>21</v>
      </c>
      <c r="E73">
        <v>28</v>
      </c>
      <c r="F73">
        <v>31</v>
      </c>
      <c r="G73">
        <v>41</v>
      </c>
      <c r="H73">
        <v>11</v>
      </c>
    </row>
    <row r="74" spans="1:8" x14ac:dyDescent="0.2">
      <c r="A74" s="1">
        <v>45155</v>
      </c>
      <c r="B74">
        <v>4</v>
      </c>
      <c r="C74">
        <v>8</v>
      </c>
      <c r="D74">
        <v>32</v>
      </c>
      <c r="E74">
        <v>33</v>
      </c>
      <c r="F74">
        <v>45</v>
      </c>
      <c r="G74">
        <v>47</v>
      </c>
      <c r="H74">
        <v>12</v>
      </c>
    </row>
    <row r="75" spans="1:8" x14ac:dyDescent="0.2">
      <c r="A75" s="1">
        <v>45152</v>
      </c>
      <c r="B75">
        <v>5</v>
      </c>
      <c r="C75">
        <v>22</v>
      </c>
      <c r="D75">
        <v>31</v>
      </c>
      <c r="E75">
        <v>32</v>
      </c>
      <c r="F75">
        <v>41</v>
      </c>
      <c r="G75">
        <v>49</v>
      </c>
      <c r="H75">
        <v>14</v>
      </c>
    </row>
    <row r="76" spans="1:8" x14ac:dyDescent="0.2">
      <c r="A76" s="1">
        <v>45148</v>
      </c>
      <c r="B76">
        <v>3</v>
      </c>
      <c r="C76">
        <v>6</v>
      </c>
      <c r="D76">
        <v>16</v>
      </c>
      <c r="E76">
        <v>29</v>
      </c>
      <c r="F76">
        <v>37</v>
      </c>
      <c r="G76">
        <v>45</v>
      </c>
      <c r="H76">
        <v>12</v>
      </c>
    </row>
    <row r="77" spans="1:8" x14ac:dyDescent="0.2">
      <c r="A77" s="1">
        <v>45145</v>
      </c>
      <c r="B77">
        <v>5</v>
      </c>
      <c r="C77">
        <v>15</v>
      </c>
      <c r="D77">
        <v>18</v>
      </c>
      <c r="E77">
        <v>31</v>
      </c>
      <c r="F77">
        <v>41</v>
      </c>
      <c r="G77">
        <v>49</v>
      </c>
      <c r="H77">
        <v>16</v>
      </c>
    </row>
    <row r="78" spans="1:8" x14ac:dyDescent="0.2">
      <c r="A78" s="1">
        <v>45142</v>
      </c>
      <c r="B78">
        <v>19</v>
      </c>
      <c r="C78">
        <v>25</v>
      </c>
      <c r="D78">
        <v>27</v>
      </c>
      <c r="E78">
        <v>28</v>
      </c>
      <c r="F78">
        <v>29</v>
      </c>
      <c r="G78">
        <v>48</v>
      </c>
      <c r="H78">
        <v>34</v>
      </c>
    </row>
    <row r="79" spans="1:8" x14ac:dyDescent="0.2">
      <c r="A79" s="1">
        <v>45138</v>
      </c>
      <c r="B79">
        <v>2</v>
      </c>
      <c r="C79">
        <v>23</v>
      </c>
      <c r="D79">
        <v>29</v>
      </c>
      <c r="E79">
        <v>35</v>
      </c>
      <c r="F79">
        <v>39</v>
      </c>
      <c r="G79">
        <v>45</v>
      </c>
      <c r="H79">
        <v>6</v>
      </c>
    </row>
    <row r="80" spans="1:8" x14ac:dyDescent="0.2">
      <c r="A80" s="1">
        <v>45134</v>
      </c>
      <c r="B80">
        <v>8</v>
      </c>
      <c r="C80">
        <v>10</v>
      </c>
      <c r="D80">
        <v>21</v>
      </c>
      <c r="E80">
        <v>27</v>
      </c>
      <c r="F80">
        <v>34</v>
      </c>
      <c r="G80">
        <v>36</v>
      </c>
      <c r="H80">
        <v>2</v>
      </c>
    </row>
    <row r="81" spans="1:8" x14ac:dyDescent="0.2">
      <c r="A81" s="1">
        <v>45131</v>
      </c>
      <c r="B81">
        <v>1</v>
      </c>
      <c r="C81">
        <v>5</v>
      </c>
      <c r="D81">
        <v>18</v>
      </c>
      <c r="E81">
        <v>20</v>
      </c>
      <c r="F81">
        <v>38</v>
      </c>
      <c r="G81">
        <v>44</v>
      </c>
      <c r="H81">
        <v>45</v>
      </c>
    </row>
    <row r="82" spans="1:8" x14ac:dyDescent="0.2">
      <c r="A82" s="1">
        <v>45127</v>
      </c>
      <c r="B82">
        <v>10</v>
      </c>
      <c r="C82">
        <v>20</v>
      </c>
      <c r="D82">
        <v>26</v>
      </c>
      <c r="E82">
        <v>39</v>
      </c>
      <c r="F82">
        <v>44</v>
      </c>
      <c r="G82">
        <v>46</v>
      </c>
      <c r="H82">
        <v>3</v>
      </c>
    </row>
    <row r="83" spans="1:8" x14ac:dyDescent="0.2">
      <c r="A83" s="1">
        <v>45124</v>
      </c>
      <c r="B83">
        <v>18</v>
      </c>
      <c r="C83">
        <v>25</v>
      </c>
      <c r="D83">
        <v>27</v>
      </c>
      <c r="E83">
        <v>32</v>
      </c>
      <c r="F83">
        <v>35</v>
      </c>
      <c r="G83">
        <v>39</v>
      </c>
      <c r="H83">
        <v>48</v>
      </c>
    </row>
    <row r="84" spans="1:8" x14ac:dyDescent="0.2">
      <c r="A84" s="1">
        <v>45120</v>
      </c>
      <c r="B84">
        <v>4</v>
      </c>
      <c r="C84">
        <v>12</v>
      </c>
      <c r="D84">
        <v>14</v>
      </c>
      <c r="E84">
        <v>20</v>
      </c>
      <c r="F84">
        <v>21</v>
      </c>
      <c r="G84">
        <v>22</v>
      </c>
      <c r="H84">
        <v>10</v>
      </c>
    </row>
    <row r="85" spans="1:8" x14ac:dyDescent="0.2">
      <c r="A85" s="1">
        <v>45117</v>
      </c>
      <c r="B85">
        <v>2</v>
      </c>
      <c r="C85">
        <v>8</v>
      </c>
      <c r="D85">
        <v>30</v>
      </c>
      <c r="E85">
        <v>33</v>
      </c>
      <c r="F85">
        <v>39</v>
      </c>
      <c r="G85">
        <v>41</v>
      </c>
      <c r="H85">
        <v>24</v>
      </c>
    </row>
    <row r="86" spans="1:8" x14ac:dyDescent="0.2">
      <c r="A86" s="1">
        <v>45113</v>
      </c>
      <c r="B86">
        <v>13</v>
      </c>
      <c r="C86">
        <v>16</v>
      </c>
      <c r="D86">
        <v>28</v>
      </c>
      <c r="E86">
        <v>34</v>
      </c>
      <c r="F86">
        <v>38</v>
      </c>
      <c r="G86">
        <v>40</v>
      </c>
      <c r="H86">
        <v>47</v>
      </c>
    </row>
    <row r="87" spans="1:8" x14ac:dyDescent="0.2">
      <c r="A87" s="1">
        <v>45110</v>
      </c>
      <c r="B87">
        <v>14</v>
      </c>
      <c r="C87">
        <v>30</v>
      </c>
      <c r="D87">
        <v>34</v>
      </c>
      <c r="E87">
        <v>40</v>
      </c>
      <c r="F87">
        <v>45</v>
      </c>
      <c r="G87">
        <v>49</v>
      </c>
      <c r="H87">
        <v>12</v>
      </c>
    </row>
    <row r="88" spans="1:8" x14ac:dyDescent="0.2">
      <c r="A88" s="1">
        <v>45106</v>
      </c>
      <c r="B88">
        <v>5</v>
      </c>
      <c r="C88">
        <v>15</v>
      </c>
      <c r="D88">
        <v>16</v>
      </c>
      <c r="E88">
        <v>30</v>
      </c>
      <c r="F88">
        <v>37</v>
      </c>
      <c r="G88">
        <v>46</v>
      </c>
      <c r="H88">
        <v>49</v>
      </c>
    </row>
    <row r="89" spans="1:8" x14ac:dyDescent="0.2">
      <c r="A89" s="1">
        <v>45103</v>
      </c>
      <c r="B89">
        <v>4</v>
      </c>
      <c r="C89">
        <v>5</v>
      </c>
      <c r="D89">
        <v>17</v>
      </c>
      <c r="E89">
        <v>28</v>
      </c>
      <c r="F89">
        <v>39</v>
      </c>
      <c r="G89">
        <v>44</v>
      </c>
      <c r="H89">
        <v>31</v>
      </c>
    </row>
    <row r="90" spans="1:8" x14ac:dyDescent="0.2">
      <c r="A90" s="1">
        <v>45099</v>
      </c>
      <c r="B90">
        <v>3</v>
      </c>
      <c r="C90">
        <v>9</v>
      </c>
      <c r="D90">
        <v>28</v>
      </c>
      <c r="E90">
        <v>32</v>
      </c>
      <c r="F90">
        <v>37</v>
      </c>
      <c r="G90">
        <v>46</v>
      </c>
      <c r="H90">
        <v>7</v>
      </c>
    </row>
    <row r="91" spans="1:8" x14ac:dyDescent="0.2">
      <c r="A91" s="1">
        <v>45096</v>
      </c>
      <c r="B91">
        <v>2</v>
      </c>
      <c r="C91">
        <v>25</v>
      </c>
      <c r="D91">
        <v>28</v>
      </c>
      <c r="E91">
        <v>30</v>
      </c>
      <c r="F91">
        <v>32</v>
      </c>
      <c r="G91">
        <v>46</v>
      </c>
      <c r="H91">
        <v>48</v>
      </c>
    </row>
    <row r="92" spans="1:8" x14ac:dyDescent="0.2">
      <c r="A92" s="1">
        <v>45092</v>
      </c>
      <c r="B92">
        <v>6</v>
      </c>
      <c r="C92">
        <v>15</v>
      </c>
      <c r="D92">
        <v>17</v>
      </c>
      <c r="E92">
        <v>42</v>
      </c>
      <c r="F92">
        <v>46</v>
      </c>
      <c r="G92">
        <v>49</v>
      </c>
      <c r="H92">
        <v>20</v>
      </c>
    </row>
    <row r="93" spans="1:8" x14ac:dyDescent="0.2">
      <c r="A93" s="1">
        <v>45089</v>
      </c>
      <c r="B93">
        <v>2</v>
      </c>
      <c r="C93">
        <v>22</v>
      </c>
      <c r="D93">
        <v>28</v>
      </c>
      <c r="E93">
        <v>33</v>
      </c>
      <c r="F93">
        <v>34</v>
      </c>
      <c r="G93">
        <v>36</v>
      </c>
      <c r="H93">
        <v>7</v>
      </c>
    </row>
    <row r="94" spans="1:8" x14ac:dyDescent="0.2">
      <c r="A94" s="1">
        <v>45085</v>
      </c>
      <c r="B94">
        <v>6</v>
      </c>
      <c r="C94">
        <v>21</v>
      </c>
      <c r="D94">
        <v>31</v>
      </c>
      <c r="E94">
        <v>32</v>
      </c>
      <c r="F94">
        <v>35</v>
      </c>
      <c r="G94">
        <v>48</v>
      </c>
      <c r="H94">
        <v>19</v>
      </c>
    </row>
    <row r="95" spans="1:8" x14ac:dyDescent="0.2">
      <c r="A95" s="1">
        <v>45082</v>
      </c>
      <c r="B95">
        <v>5</v>
      </c>
      <c r="C95">
        <v>16</v>
      </c>
      <c r="D95">
        <v>26</v>
      </c>
      <c r="E95">
        <v>28</v>
      </c>
      <c r="F95">
        <v>32</v>
      </c>
      <c r="G95">
        <v>34</v>
      </c>
      <c r="H95">
        <v>24</v>
      </c>
    </row>
    <row r="96" spans="1:8" x14ac:dyDescent="0.2">
      <c r="A96" s="1">
        <v>45078</v>
      </c>
      <c r="B96">
        <v>7</v>
      </c>
      <c r="C96">
        <v>15</v>
      </c>
      <c r="D96">
        <v>33</v>
      </c>
      <c r="E96">
        <v>40</v>
      </c>
      <c r="F96">
        <v>45</v>
      </c>
      <c r="G96">
        <v>49</v>
      </c>
      <c r="H96">
        <v>5</v>
      </c>
    </row>
    <row r="97" spans="1:8" x14ac:dyDescent="0.2">
      <c r="A97" s="1">
        <v>45075</v>
      </c>
      <c r="B97">
        <v>5</v>
      </c>
      <c r="C97">
        <v>13</v>
      </c>
      <c r="D97">
        <v>30</v>
      </c>
      <c r="E97">
        <v>34</v>
      </c>
      <c r="F97">
        <v>36</v>
      </c>
      <c r="G97">
        <v>48</v>
      </c>
      <c r="H97">
        <v>20</v>
      </c>
    </row>
    <row r="98" spans="1:8" x14ac:dyDescent="0.2">
      <c r="A98" s="1">
        <v>45071</v>
      </c>
      <c r="B98">
        <v>4</v>
      </c>
      <c r="C98">
        <v>15</v>
      </c>
      <c r="D98">
        <v>17</v>
      </c>
      <c r="E98">
        <v>35</v>
      </c>
      <c r="F98">
        <v>42</v>
      </c>
      <c r="G98">
        <v>48</v>
      </c>
      <c r="H98">
        <v>45</v>
      </c>
    </row>
    <row r="99" spans="1:8" x14ac:dyDescent="0.2">
      <c r="A99" s="1">
        <v>45068</v>
      </c>
      <c r="B99">
        <v>1</v>
      </c>
      <c r="C99">
        <v>4</v>
      </c>
      <c r="D99">
        <v>7</v>
      </c>
      <c r="E99">
        <v>8</v>
      </c>
      <c r="F99">
        <v>34</v>
      </c>
      <c r="G99">
        <v>44</v>
      </c>
      <c r="H99">
        <v>12</v>
      </c>
    </row>
    <row r="100" spans="1:8" x14ac:dyDescent="0.2">
      <c r="A100" s="1">
        <v>45064</v>
      </c>
      <c r="B100">
        <v>7</v>
      </c>
      <c r="C100">
        <v>13</v>
      </c>
      <c r="D100">
        <v>18</v>
      </c>
      <c r="E100">
        <v>19</v>
      </c>
      <c r="F100">
        <v>25</v>
      </c>
      <c r="G100">
        <v>29</v>
      </c>
      <c r="H100">
        <v>36</v>
      </c>
    </row>
    <row r="101" spans="1:8" x14ac:dyDescent="0.2">
      <c r="A101" s="1">
        <v>45061</v>
      </c>
      <c r="B101">
        <v>7</v>
      </c>
      <c r="C101">
        <v>33</v>
      </c>
      <c r="D101">
        <v>36</v>
      </c>
      <c r="E101">
        <v>40</v>
      </c>
      <c r="F101">
        <v>41</v>
      </c>
      <c r="G101">
        <v>42</v>
      </c>
      <c r="H101">
        <v>30</v>
      </c>
    </row>
    <row r="102" spans="1:8" x14ac:dyDescent="0.2">
      <c r="A102" s="1">
        <v>45057</v>
      </c>
      <c r="B102">
        <v>1</v>
      </c>
      <c r="C102">
        <v>11</v>
      </c>
      <c r="D102">
        <v>26</v>
      </c>
      <c r="E102">
        <v>38</v>
      </c>
      <c r="F102">
        <v>41</v>
      </c>
      <c r="G102">
        <v>44</v>
      </c>
      <c r="H102">
        <v>6</v>
      </c>
    </row>
    <row r="103" spans="1:8" x14ac:dyDescent="0.2">
      <c r="A103" s="1">
        <v>45054</v>
      </c>
      <c r="B103">
        <v>1</v>
      </c>
      <c r="C103">
        <v>3</v>
      </c>
      <c r="D103">
        <v>6</v>
      </c>
      <c r="E103">
        <v>11</v>
      </c>
      <c r="F103">
        <v>23</v>
      </c>
      <c r="G103">
        <v>34</v>
      </c>
      <c r="H103">
        <v>39</v>
      </c>
    </row>
    <row r="104" spans="1:8" x14ac:dyDescent="0.2">
      <c r="A104" s="1">
        <v>45050</v>
      </c>
      <c r="B104">
        <v>16</v>
      </c>
      <c r="C104">
        <v>21</v>
      </c>
      <c r="D104">
        <v>25</v>
      </c>
      <c r="E104">
        <v>28</v>
      </c>
      <c r="F104">
        <v>37</v>
      </c>
      <c r="G104">
        <v>44</v>
      </c>
      <c r="H104">
        <v>24</v>
      </c>
    </row>
    <row r="105" spans="1:8" x14ac:dyDescent="0.2">
      <c r="A105" s="1">
        <v>45047</v>
      </c>
      <c r="B105">
        <v>22</v>
      </c>
      <c r="C105">
        <v>26</v>
      </c>
      <c r="D105">
        <v>29</v>
      </c>
      <c r="E105">
        <v>30</v>
      </c>
      <c r="F105">
        <v>48</v>
      </c>
      <c r="G105">
        <v>49</v>
      </c>
      <c r="H105">
        <v>46</v>
      </c>
    </row>
    <row r="106" spans="1:8" x14ac:dyDescent="0.2">
      <c r="A106" s="1">
        <v>45043</v>
      </c>
      <c r="B106">
        <v>4</v>
      </c>
      <c r="C106">
        <v>9</v>
      </c>
      <c r="D106">
        <v>30</v>
      </c>
      <c r="E106">
        <v>32</v>
      </c>
      <c r="F106">
        <v>40</v>
      </c>
      <c r="G106">
        <v>49</v>
      </c>
      <c r="H106">
        <v>16</v>
      </c>
    </row>
    <row r="107" spans="1:8" x14ac:dyDescent="0.2">
      <c r="A107" s="1">
        <v>45040</v>
      </c>
      <c r="B107">
        <v>5</v>
      </c>
      <c r="C107">
        <v>6</v>
      </c>
      <c r="D107">
        <v>25</v>
      </c>
      <c r="E107">
        <v>32</v>
      </c>
      <c r="F107">
        <v>36</v>
      </c>
      <c r="G107">
        <v>49</v>
      </c>
      <c r="H107">
        <v>21</v>
      </c>
    </row>
    <row r="108" spans="1:8" x14ac:dyDescent="0.2">
      <c r="A108" s="1">
        <v>45036</v>
      </c>
      <c r="B108">
        <v>11</v>
      </c>
      <c r="C108">
        <v>14</v>
      </c>
      <c r="D108">
        <v>21</v>
      </c>
      <c r="E108">
        <v>30</v>
      </c>
      <c r="F108">
        <v>37</v>
      </c>
      <c r="G108">
        <v>40</v>
      </c>
      <c r="H108">
        <v>20</v>
      </c>
    </row>
    <row r="109" spans="1:8" x14ac:dyDescent="0.2">
      <c r="A109" s="1">
        <v>45033</v>
      </c>
      <c r="B109">
        <v>9</v>
      </c>
      <c r="C109">
        <v>11</v>
      </c>
      <c r="D109">
        <v>17</v>
      </c>
      <c r="E109">
        <v>22</v>
      </c>
      <c r="F109">
        <v>31</v>
      </c>
      <c r="G109">
        <v>43</v>
      </c>
      <c r="H109">
        <v>34</v>
      </c>
    </row>
    <row r="110" spans="1:8" x14ac:dyDescent="0.2">
      <c r="A110" s="1">
        <v>45029</v>
      </c>
      <c r="B110">
        <v>11</v>
      </c>
      <c r="C110">
        <v>21</v>
      </c>
      <c r="D110">
        <v>30</v>
      </c>
      <c r="E110">
        <v>31</v>
      </c>
      <c r="F110">
        <v>33</v>
      </c>
      <c r="G110">
        <v>38</v>
      </c>
      <c r="H110">
        <v>24</v>
      </c>
    </row>
    <row r="111" spans="1:8" x14ac:dyDescent="0.2">
      <c r="A111" s="1">
        <v>45026</v>
      </c>
      <c r="B111">
        <v>8</v>
      </c>
      <c r="C111">
        <v>10</v>
      </c>
      <c r="D111">
        <v>12</v>
      </c>
      <c r="E111">
        <v>25</v>
      </c>
      <c r="F111">
        <v>32</v>
      </c>
      <c r="G111">
        <v>38</v>
      </c>
      <c r="H111">
        <v>20</v>
      </c>
    </row>
    <row r="112" spans="1:8" x14ac:dyDescent="0.2">
      <c r="A112" s="1">
        <v>45022</v>
      </c>
      <c r="B112">
        <v>6</v>
      </c>
      <c r="C112">
        <v>7</v>
      </c>
      <c r="D112">
        <v>31</v>
      </c>
      <c r="E112">
        <v>42</v>
      </c>
      <c r="F112">
        <v>46</v>
      </c>
      <c r="G112">
        <v>47</v>
      </c>
      <c r="H112">
        <v>27</v>
      </c>
    </row>
    <row r="113" spans="1:8" x14ac:dyDescent="0.2">
      <c r="A113" s="1">
        <v>45019</v>
      </c>
      <c r="B113">
        <v>13</v>
      </c>
      <c r="C113">
        <v>27</v>
      </c>
      <c r="D113">
        <v>28</v>
      </c>
      <c r="E113">
        <v>42</v>
      </c>
      <c r="F113">
        <v>44</v>
      </c>
      <c r="G113">
        <v>45</v>
      </c>
      <c r="H113">
        <v>1</v>
      </c>
    </row>
    <row r="114" spans="1:8" x14ac:dyDescent="0.2">
      <c r="A114" s="1">
        <v>45015</v>
      </c>
      <c r="B114">
        <v>12</v>
      </c>
      <c r="C114">
        <v>26</v>
      </c>
      <c r="D114">
        <v>34</v>
      </c>
      <c r="E114">
        <v>39</v>
      </c>
      <c r="F114">
        <v>41</v>
      </c>
      <c r="G114">
        <v>49</v>
      </c>
      <c r="H114">
        <v>16</v>
      </c>
    </row>
    <row r="115" spans="1:8" x14ac:dyDescent="0.2">
      <c r="A115" s="1">
        <v>45012</v>
      </c>
      <c r="B115">
        <v>1</v>
      </c>
      <c r="C115">
        <v>4</v>
      </c>
      <c r="D115">
        <v>17</v>
      </c>
      <c r="E115">
        <v>28</v>
      </c>
      <c r="F115">
        <v>43</v>
      </c>
      <c r="G115">
        <v>45</v>
      </c>
      <c r="H115">
        <v>29</v>
      </c>
    </row>
    <row r="116" spans="1:8" x14ac:dyDescent="0.2">
      <c r="A116" s="1">
        <v>45008</v>
      </c>
      <c r="B116">
        <v>14</v>
      </c>
      <c r="C116">
        <v>21</v>
      </c>
      <c r="D116">
        <v>26</v>
      </c>
      <c r="E116">
        <v>29</v>
      </c>
      <c r="F116">
        <v>37</v>
      </c>
      <c r="G116">
        <v>40</v>
      </c>
      <c r="H116">
        <v>7</v>
      </c>
    </row>
    <row r="117" spans="1:8" x14ac:dyDescent="0.2">
      <c r="A117" s="1">
        <v>45005</v>
      </c>
      <c r="B117">
        <v>7</v>
      </c>
      <c r="C117">
        <v>8</v>
      </c>
      <c r="D117">
        <v>15</v>
      </c>
      <c r="E117">
        <v>27</v>
      </c>
      <c r="F117">
        <v>34</v>
      </c>
      <c r="G117">
        <v>38</v>
      </c>
      <c r="H117">
        <v>37</v>
      </c>
    </row>
    <row r="118" spans="1:8" x14ac:dyDescent="0.2">
      <c r="A118" s="1">
        <v>45001</v>
      </c>
      <c r="B118">
        <v>4</v>
      </c>
      <c r="C118">
        <v>14</v>
      </c>
      <c r="D118">
        <v>30</v>
      </c>
      <c r="E118">
        <v>33</v>
      </c>
      <c r="F118">
        <v>37</v>
      </c>
      <c r="G118">
        <v>42</v>
      </c>
      <c r="H118">
        <v>22</v>
      </c>
    </row>
    <row r="119" spans="1:8" x14ac:dyDescent="0.2">
      <c r="A119" s="1">
        <v>44998</v>
      </c>
      <c r="B119">
        <v>1</v>
      </c>
      <c r="C119">
        <v>3</v>
      </c>
      <c r="D119">
        <v>15</v>
      </c>
      <c r="E119">
        <v>18</v>
      </c>
      <c r="F119">
        <v>23</v>
      </c>
      <c r="G119">
        <v>48</v>
      </c>
      <c r="H119">
        <v>41</v>
      </c>
    </row>
    <row r="120" spans="1:8" x14ac:dyDescent="0.2">
      <c r="A120" s="1">
        <v>44994</v>
      </c>
      <c r="B120">
        <v>1</v>
      </c>
      <c r="C120">
        <v>10</v>
      </c>
      <c r="D120">
        <v>30</v>
      </c>
      <c r="E120">
        <v>31</v>
      </c>
      <c r="F120">
        <v>38</v>
      </c>
      <c r="G120">
        <v>45</v>
      </c>
      <c r="H120">
        <v>11</v>
      </c>
    </row>
    <row r="121" spans="1:8" x14ac:dyDescent="0.2">
      <c r="A121" s="1">
        <v>44991</v>
      </c>
      <c r="B121">
        <v>21</v>
      </c>
      <c r="C121">
        <v>30</v>
      </c>
      <c r="D121">
        <v>35</v>
      </c>
      <c r="E121">
        <v>36</v>
      </c>
      <c r="F121">
        <v>37</v>
      </c>
      <c r="G121">
        <v>45</v>
      </c>
      <c r="H121">
        <v>1</v>
      </c>
    </row>
    <row r="122" spans="1:8" x14ac:dyDescent="0.2">
      <c r="A122" s="1">
        <v>44987</v>
      </c>
      <c r="B122">
        <v>15</v>
      </c>
      <c r="C122">
        <v>22</v>
      </c>
      <c r="D122">
        <v>24</v>
      </c>
      <c r="E122">
        <v>26</v>
      </c>
      <c r="F122">
        <v>29</v>
      </c>
      <c r="G122">
        <v>36</v>
      </c>
      <c r="H122">
        <v>28</v>
      </c>
    </row>
    <row r="123" spans="1:8" x14ac:dyDescent="0.2">
      <c r="A123" s="1">
        <v>44984</v>
      </c>
      <c r="B123">
        <v>6</v>
      </c>
      <c r="C123">
        <v>26</v>
      </c>
      <c r="D123">
        <v>32</v>
      </c>
      <c r="E123">
        <v>39</v>
      </c>
      <c r="F123">
        <v>44</v>
      </c>
      <c r="G123">
        <v>48</v>
      </c>
      <c r="H123">
        <v>11</v>
      </c>
    </row>
    <row r="124" spans="1:8" x14ac:dyDescent="0.2">
      <c r="A124" s="1">
        <v>44980</v>
      </c>
      <c r="B124">
        <v>2</v>
      </c>
      <c r="C124">
        <v>5</v>
      </c>
      <c r="D124">
        <v>19</v>
      </c>
      <c r="E124">
        <v>24</v>
      </c>
      <c r="F124">
        <v>34</v>
      </c>
      <c r="G124">
        <v>44</v>
      </c>
      <c r="H124">
        <v>37</v>
      </c>
    </row>
    <row r="125" spans="1:8" x14ac:dyDescent="0.2">
      <c r="A125" s="1">
        <v>44977</v>
      </c>
      <c r="B125">
        <v>4</v>
      </c>
      <c r="C125">
        <v>9</v>
      </c>
      <c r="D125">
        <v>21</v>
      </c>
      <c r="E125">
        <v>22</v>
      </c>
      <c r="F125">
        <v>25</v>
      </c>
      <c r="G125">
        <v>41</v>
      </c>
      <c r="H125">
        <v>18</v>
      </c>
    </row>
    <row r="126" spans="1:8" x14ac:dyDescent="0.2">
      <c r="A126" s="1">
        <v>44973</v>
      </c>
      <c r="B126">
        <v>3</v>
      </c>
      <c r="C126">
        <v>10</v>
      </c>
      <c r="D126">
        <v>16</v>
      </c>
      <c r="E126">
        <v>24</v>
      </c>
      <c r="F126">
        <v>42</v>
      </c>
      <c r="G126">
        <v>46</v>
      </c>
      <c r="H126">
        <v>25</v>
      </c>
    </row>
    <row r="127" spans="1:8" x14ac:dyDescent="0.2">
      <c r="A127" s="1">
        <v>44970</v>
      </c>
      <c r="B127">
        <v>5</v>
      </c>
      <c r="C127">
        <v>12</v>
      </c>
      <c r="D127">
        <v>23</v>
      </c>
      <c r="E127">
        <v>28</v>
      </c>
      <c r="F127">
        <v>31</v>
      </c>
      <c r="G127">
        <v>39</v>
      </c>
      <c r="H127">
        <v>37</v>
      </c>
    </row>
    <row r="128" spans="1:8" x14ac:dyDescent="0.2">
      <c r="A128" s="1">
        <v>44966</v>
      </c>
      <c r="B128">
        <v>18</v>
      </c>
      <c r="C128">
        <v>20</v>
      </c>
      <c r="D128">
        <v>27</v>
      </c>
      <c r="E128">
        <v>37</v>
      </c>
      <c r="F128">
        <v>43</v>
      </c>
      <c r="G128">
        <v>47</v>
      </c>
      <c r="H128">
        <v>10</v>
      </c>
    </row>
    <row r="129" spans="1:8" x14ac:dyDescent="0.2">
      <c r="A129" s="1">
        <v>44963</v>
      </c>
      <c r="B129">
        <v>6</v>
      </c>
      <c r="C129">
        <v>10</v>
      </c>
      <c r="D129">
        <v>15</v>
      </c>
      <c r="E129">
        <v>19</v>
      </c>
      <c r="F129">
        <v>20</v>
      </c>
      <c r="G129">
        <v>30</v>
      </c>
      <c r="H129">
        <v>5</v>
      </c>
    </row>
    <row r="130" spans="1:8" x14ac:dyDescent="0.2">
      <c r="A130" s="1">
        <v>44960</v>
      </c>
      <c r="B130">
        <v>4</v>
      </c>
      <c r="C130">
        <v>6</v>
      </c>
      <c r="D130">
        <v>21</v>
      </c>
      <c r="E130">
        <v>25</v>
      </c>
      <c r="F130">
        <v>34</v>
      </c>
      <c r="G130">
        <v>40</v>
      </c>
      <c r="H130">
        <v>48</v>
      </c>
    </row>
    <row r="131" spans="1:8" x14ac:dyDescent="0.2">
      <c r="A131" s="1">
        <v>44956</v>
      </c>
      <c r="B131">
        <v>13</v>
      </c>
      <c r="C131">
        <v>23</v>
      </c>
      <c r="D131">
        <v>25</v>
      </c>
      <c r="E131">
        <v>26</v>
      </c>
      <c r="F131">
        <v>44</v>
      </c>
      <c r="G131">
        <v>45</v>
      </c>
      <c r="H131">
        <v>38</v>
      </c>
    </row>
    <row r="132" spans="1:8" x14ac:dyDescent="0.2">
      <c r="A132" s="1">
        <v>44952</v>
      </c>
      <c r="B132">
        <v>2</v>
      </c>
      <c r="C132">
        <v>21</v>
      </c>
      <c r="D132">
        <v>34</v>
      </c>
      <c r="E132">
        <v>40</v>
      </c>
      <c r="F132">
        <v>43</v>
      </c>
      <c r="G132">
        <v>45</v>
      </c>
      <c r="H132">
        <v>13</v>
      </c>
    </row>
    <row r="133" spans="1:8" x14ac:dyDescent="0.2">
      <c r="A133" s="1">
        <v>44949</v>
      </c>
      <c r="B133">
        <v>22</v>
      </c>
      <c r="C133">
        <v>30</v>
      </c>
      <c r="D133">
        <v>31</v>
      </c>
      <c r="E133">
        <v>39</v>
      </c>
      <c r="F133">
        <v>43</v>
      </c>
      <c r="G133">
        <v>49</v>
      </c>
      <c r="H133">
        <v>3</v>
      </c>
    </row>
    <row r="134" spans="1:8" x14ac:dyDescent="0.2">
      <c r="A134" s="1">
        <v>44946</v>
      </c>
      <c r="B134">
        <v>15</v>
      </c>
      <c r="C134">
        <v>29</v>
      </c>
      <c r="D134">
        <v>35</v>
      </c>
      <c r="E134">
        <v>47</v>
      </c>
      <c r="F134">
        <v>48</v>
      </c>
      <c r="G134">
        <v>49</v>
      </c>
      <c r="H134">
        <v>10</v>
      </c>
    </row>
    <row r="135" spans="1:8" x14ac:dyDescent="0.2">
      <c r="A135" s="1">
        <v>44942</v>
      </c>
      <c r="B135">
        <v>15</v>
      </c>
      <c r="C135">
        <v>22</v>
      </c>
      <c r="D135">
        <v>23</v>
      </c>
      <c r="E135">
        <v>36</v>
      </c>
      <c r="F135">
        <v>40</v>
      </c>
      <c r="G135">
        <v>42</v>
      </c>
      <c r="H135">
        <v>20</v>
      </c>
    </row>
    <row r="136" spans="1:8" x14ac:dyDescent="0.2">
      <c r="A136" s="1">
        <v>44938</v>
      </c>
      <c r="B136">
        <v>2</v>
      </c>
      <c r="C136">
        <v>6</v>
      </c>
      <c r="D136">
        <v>8</v>
      </c>
      <c r="E136">
        <v>28</v>
      </c>
      <c r="F136">
        <v>31</v>
      </c>
      <c r="G136">
        <v>37</v>
      </c>
      <c r="H136">
        <v>48</v>
      </c>
    </row>
    <row r="137" spans="1:8" x14ac:dyDescent="0.2">
      <c r="A137" s="1">
        <v>44935</v>
      </c>
      <c r="B137">
        <v>1</v>
      </c>
      <c r="C137">
        <v>3</v>
      </c>
      <c r="D137">
        <v>13</v>
      </c>
      <c r="E137">
        <v>15</v>
      </c>
      <c r="F137">
        <v>22</v>
      </c>
      <c r="G137">
        <v>43</v>
      </c>
      <c r="H137">
        <v>46</v>
      </c>
    </row>
    <row r="138" spans="1:8" x14ac:dyDescent="0.2">
      <c r="A138" s="1">
        <v>44932</v>
      </c>
      <c r="B138">
        <v>12</v>
      </c>
      <c r="C138">
        <v>22</v>
      </c>
      <c r="D138">
        <v>30</v>
      </c>
      <c r="E138">
        <v>32</v>
      </c>
      <c r="F138">
        <v>42</v>
      </c>
      <c r="G138">
        <v>49</v>
      </c>
      <c r="H138">
        <v>8</v>
      </c>
    </row>
    <row r="139" spans="1:8" x14ac:dyDescent="0.2">
      <c r="A139" s="1">
        <v>44928</v>
      </c>
      <c r="B139">
        <v>1</v>
      </c>
      <c r="C139">
        <v>13</v>
      </c>
      <c r="D139">
        <v>15</v>
      </c>
      <c r="E139">
        <v>32</v>
      </c>
      <c r="F139">
        <v>41</v>
      </c>
      <c r="G139">
        <v>47</v>
      </c>
      <c r="H139">
        <v>11</v>
      </c>
    </row>
    <row r="140" spans="1:8" x14ac:dyDescent="0.2">
      <c r="A140" s="1">
        <v>44924</v>
      </c>
      <c r="B140">
        <v>12</v>
      </c>
      <c r="C140">
        <v>18</v>
      </c>
      <c r="D140">
        <v>25</v>
      </c>
      <c r="E140">
        <v>28</v>
      </c>
      <c r="F140">
        <v>30</v>
      </c>
      <c r="G140">
        <v>36</v>
      </c>
      <c r="H140">
        <v>48</v>
      </c>
    </row>
    <row r="141" spans="1:8" x14ac:dyDescent="0.2">
      <c r="A141" s="1">
        <v>44921</v>
      </c>
      <c r="B141">
        <v>3</v>
      </c>
      <c r="C141">
        <v>10</v>
      </c>
      <c r="D141">
        <v>31</v>
      </c>
      <c r="E141">
        <v>32</v>
      </c>
      <c r="F141">
        <v>44</v>
      </c>
      <c r="G141">
        <v>47</v>
      </c>
      <c r="H141">
        <v>41</v>
      </c>
    </row>
    <row r="142" spans="1:8" x14ac:dyDescent="0.2">
      <c r="A142" s="1">
        <v>44917</v>
      </c>
      <c r="B142">
        <v>4</v>
      </c>
      <c r="C142">
        <v>11</v>
      </c>
      <c r="D142">
        <v>13</v>
      </c>
      <c r="E142">
        <v>16</v>
      </c>
      <c r="F142">
        <v>32</v>
      </c>
      <c r="G142">
        <v>46</v>
      </c>
      <c r="H142">
        <v>9</v>
      </c>
    </row>
    <row r="143" spans="1:8" x14ac:dyDescent="0.2">
      <c r="A143" s="1">
        <v>44914</v>
      </c>
      <c r="B143">
        <v>8</v>
      </c>
      <c r="C143">
        <v>14</v>
      </c>
      <c r="D143">
        <v>24</v>
      </c>
      <c r="E143">
        <v>26</v>
      </c>
      <c r="F143">
        <v>45</v>
      </c>
      <c r="G143">
        <v>46</v>
      </c>
      <c r="H143">
        <v>42</v>
      </c>
    </row>
    <row r="144" spans="1:8" x14ac:dyDescent="0.2">
      <c r="A144" s="1">
        <v>44910</v>
      </c>
      <c r="B144">
        <v>4</v>
      </c>
      <c r="C144">
        <v>12</v>
      </c>
      <c r="D144">
        <v>17</v>
      </c>
      <c r="E144">
        <v>19</v>
      </c>
      <c r="F144">
        <v>24</v>
      </c>
      <c r="G144">
        <v>44</v>
      </c>
      <c r="H144">
        <v>20</v>
      </c>
    </row>
    <row r="145" spans="1:8" x14ac:dyDescent="0.2">
      <c r="A145" s="1">
        <v>44907</v>
      </c>
      <c r="B145">
        <v>3</v>
      </c>
      <c r="C145">
        <v>7</v>
      </c>
      <c r="D145">
        <v>22</v>
      </c>
      <c r="E145">
        <v>27</v>
      </c>
      <c r="F145">
        <v>44</v>
      </c>
      <c r="G145">
        <v>49</v>
      </c>
      <c r="H145">
        <v>13</v>
      </c>
    </row>
    <row r="146" spans="1:8" x14ac:dyDescent="0.2">
      <c r="A146" s="1">
        <v>44903</v>
      </c>
      <c r="B146">
        <v>1</v>
      </c>
      <c r="C146">
        <v>6</v>
      </c>
      <c r="D146">
        <v>21</v>
      </c>
      <c r="E146">
        <v>35</v>
      </c>
      <c r="F146">
        <v>37</v>
      </c>
      <c r="G146">
        <v>46</v>
      </c>
      <c r="H146">
        <v>33</v>
      </c>
    </row>
    <row r="147" spans="1:8" x14ac:dyDescent="0.2">
      <c r="A147" s="1">
        <v>44900</v>
      </c>
      <c r="B147">
        <v>5</v>
      </c>
      <c r="C147">
        <v>6</v>
      </c>
      <c r="D147">
        <v>7</v>
      </c>
      <c r="E147">
        <v>25</v>
      </c>
      <c r="F147">
        <v>28</v>
      </c>
      <c r="G147">
        <v>35</v>
      </c>
      <c r="H147">
        <v>8</v>
      </c>
    </row>
    <row r="148" spans="1:8" x14ac:dyDescent="0.2">
      <c r="A148" s="1">
        <v>44896</v>
      </c>
      <c r="B148">
        <v>3</v>
      </c>
      <c r="C148">
        <v>12</v>
      </c>
      <c r="D148">
        <v>20</v>
      </c>
      <c r="E148">
        <v>39</v>
      </c>
      <c r="F148">
        <v>40</v>
      </c>
      <c r="G148">
        <v>47</v>
      </c>
      <c r="H148">
        <v>18</v>
      </c>
    </row>
    <row r="149" spans="1:8" x14ac:dyDescent="0.2">
      <c r="A149" s="1">
        <v>44893</v>
      </c>
      <c r="B149">
        <v>7</v>
      </c>
      <c r="C149">
        <v>16</v>
      </c>
      <c r="D149">
        <v>17</v>
      </c>
      <c r="E149">
        <v>28</v>
      </c>
      <c r="F149">
        <v>37</v>
      </c>
      <c r="G149">
        <v>48</v>
      </c>
      <c r="H149">
        <v>14</v>
      </c>
    </row>
    <row r="150" spans="1:8" x14ac:dyDescent="0.2">
      <c r="A150" s="1">
        <v>44889</v>
      </c>
      <c r="B150">
        <v>3</v>
      </c>
      <c r="C150">
        <v>8</v>
      </c>
      <c r="D150">
        <v>11</v>
      </c>
      <c r="E150">
        <v>21</v>
      </c>
      <c r="F150">
        <v>24</v>
      </c>
      <c r="G150">
        <v>31</v>
      </c>
      <c r="H150">
        <v>25</v>
      </c>
    </row>
    <row r="151" spans="1:8" x14ac:dyDescent="0.2">
      <c r="A151" s="1">
        <v>44886</v>
      </c>
      <c r="B151">
        <v>3</v>
      </c>
      <c r="C151">
        <v>9</v>
      </c>
      <c r="D151">
        <v>21</v>
      </c>
      <c r="E151">
        <v>30</v>
      </c>
      <c r="F151">
        <v>36</v>
      </c>
      <c r="G151">
        <v>46</v>
      </c>
      <c r="H151">
        <v>2</v>
      </c>
    </row>
    <row r="152" spans="1:8" x14ac:dyDescent="0.2">
      <c r="A152" s="1">
        <v>44882</v>
      </c>
      <c r="B152">
        <v>1</v>
      </c>
      <c r="C152">
        <v>10</v>
      </c>
      <c r="D152">
        <v>16</v>
      </c>
      <c r="E152">
        <v>23</v>
      </c>
      <c r="F152">
        <v>38</v>
      </c>
      <c r="G152">
        <v>49</v>
      </c>
      <c r="H152">
        <v>25</v>
      </c>
    </row>
    <row r="153" spans="1:8" x14ac:dyDescent="0.2">
      <c r="A153" s="1">
        <v>44879</v>
      </c>
      <c r="B153">
        <v>8</v>
      </c>
      <c r="C153">
        <v>15</v>
      </c>
      <c r="D153">
        <v>22</v>
      </c>
      <c r="E153">
        <v>26</v>
      </c>
      <c r="F153">
        <v>34</v>
      </c>
      <c r="G153">
        <v>45</v>
      </c>
      <c r="H153">
        <v>32</v>
      </c>
    </row>
    <row r="154" spans="1:8" x14ac:dyDescent="0.2">
      <c r="A154" s="1">
        <v>44875</v>
      </c>
      <c r="B154">
        <v>10</v>
      </c>
      <c r="C154">
        <v>23</v>
      </c>
      <c r="D154">
        <v>28</v>
      </c>
      <c r="E154">
        <v>35</v>
      </c>
      <c r="F154">
        <v>39</v>
      </c>
      <c r="G154">
        <v>46</v>
      </c>
      <c r="H154">
        <v>6</v>
      </c>
    </row>
    <row r="155" spans="1:8" x14ac:dyDescent="0.2">
      <c r="A155" s="1">
        <v>44872</v>
      </c>
      <c r="B155">
        <v>10</v>
      </c>
      <c r="C155">
        <v>14</v>
      </c>
      <c r="D155">
        <v>33</v>
      </c>
      <c r="E155">
        <v>37</v>
      </c>
      <c r="F155">
        <v>39</v>
      </c>
      <c r="G155">
        <v>45</v>
      </c>
      <c r="H155">
        <v>28</v>
      </c>
    </row>
    <row r="156" spans="1:8" x14ac:dyDescent="0.2">
      <c r="A156" s="1">
        <v>44868</v>
      </c>
      <c r="B156">
        <v>13</v>
      </c>
      <c r="C156">
        <v>21</v>
      </c>
      <c r="D156">
        <v>24</v>
      </c>
      <c r="E156">
        <v>25</v>
      </c>
      <c r="F156">
        <v>26</v>
      </c>
      <c r="G156">
        <v>41</v>
      </c>
      <c r="H156">
        <v>11</v>
      </c>
    </row>
    <row r="157" spans="1:8" x14ac:dyDescent="0.2">
      <c r="A157" s="1">
        <v>44865</v>
      </c>
      <c r="B157">
        <v>4</v>
      </c>
      <c r="C157">
        <v>14</v>
      </c>
      <c r="D157">
        <v>17</v>
      </c>
      <c r="E157">
        <v>25</v>
      </c>
      <c r="F157">
        <v>29</v>
      </c>
      <c r="G157">
        <v>49</v>
      </c>
      <c r="H157">
        <v>36</v>
      </c>
    </row>
    <row r="158" spans="1:8" x14ac:dyDescent="0.2">
      <c r="A158" s="1">
        <v>44861</v>
      </c>
      <c r="B158">
        <v>13</v>
      </c>
      <c r="C158">
        <v>16</v>
      </c>
      <c r="D158">
        <v>25</v>
      </c>
      <c r="E158">
        <v>41</v>
      </c>
      <c r="F158">
        <v>45</v>
      </c>
      <c r="G158">
        <v>46</v>
      </c>
      <c r="H158">
        <v>20</v>
      </c>
    </row>
    <row r="159" spans="1:8" x14ac:dyDescent="0.2">
      <c r="A159" s="1">
        <v>44858</v>
      </c>
      <c r="B159">
        <v>7</v>
      </c>
      <c r="C159">
        <v>11</v>
      </c>
      <c r="D159">
        <v>17</v>
      </c>
      <c r="E159">
        <v>21</v>
      </c>
      <c r="F159">
        <v>41</v>
      </c>
      <c r="G159">
        <v>43</v>
      </c>
      <c r="H159">
        <v>30</v>
      </c>
    </row>
    <row r="160" spans="1:8" x14ac:dyDescent="0.2">
      <c r="A160" s="1">
        <v>44854</v>
      </c>
      <c r="B160">
        <v>2</v>
      </c>
      <c r="C160">
        <v>9</v>
      </c>
      <c r="D160">
        <v>19</v>
      </c>
      <c r="E160">
        <v>27</v>
      </c>
      <c r="F160">
        <v>33</v>
      </c>
      <c r="G160">
        <v>37</v>
      </c>
      <c r="H160">
        <v>21</v>
      </c>
    </row>
    <row r="161" spans="1:8" x14ac:dyDescent="0.2">
      <c r="A161" s="1">
        <v>44851</v>
      </c>
      <c r="B161">
        <v>1</v>
      </c>
      <c r="C161">
        <v>8</v>
      </c>
      <c r="D161">
        <v>16</v>
      </c>
      <c r="E161">
        <v>24</v>
      </c>
      <c r="F161">
        <v>38</v>
      </c>
      <c r="G161">
        <v>43</v>
      </c>
      <c r="H161">
        <v>15</v>
      </c>
    </row>
    <row r="162" spans="1:8" x14ac:dyDescent="0.2">
      <c r="A162" s="1">
        <v>44847</v>
      </c>
      <c r="B162">
        <v>2</v>
      </c>
      <c r="C162">
        <v>4</v>
      </c>
      <c r="D162">
        <v>8</v>
      </c>
      <c r="E162">
        <v>17</v>
      </c>
      <c r="F162">
        <v>22</v>
      </c>
      <c r="G162">
        <v>40</v>
      </c>
      <c r="H162">
        <v>6</v>
      </c>
    </row>
    <row r="163" spans="1:8" x14ac:dyDescent="0.2">
      <c r="A163" s="1">
        <v>44844</v>
      </c>
      <c r="B163">
        <v>8</v>
      </c>
      <c r="C163">
        <v>10</v>
      </c>
      <c r="D163">
        <v>18</v>
      </c>
      <c r="E163">
        <v>26</v>
      </c>
      <c r="F163">
        <v>42</v>
      </c>
      <c r="G163">
        <v>47</v>
      </c>
      <c r="H163">
        <v>49</v>
      </c>
    </row>
    <row r="164" spans="1:8" x14ac:dyDescent="0.2">
      <c r="A164" s="1">
        <v>44840</v>
      </c>
      <c r="B164">
        <v>10</v>
      </c>
      <c r="C164">
        <v>19</v>
      </c>
      <c r="D164">
        <v>20</v>
      </c>
      <c r="E164">
        <v>22</v>
      </c>
      <c r="F164">
        <v>26</v>
      </c>
      <c r="G164">
        <v>46</v>
      </c>
      <c r="H164">
        <v>4</v>
      </c>
    </row>
    <row r="165" spans="1:8" x14ac:dyDescent="0.2">
      <c r="A165" s="1">
        <v>44837</v>
      </c>
      <c r="B165">
        <v>7</v>
      </c>
      <c r="C165">
        <v>16</v>
      </c>
      <c r="D165">
        <v>20</v>
      </c>
      <c r="E165">
        <v>29</v>
      </c>
      <c r="F165">
        <v>33</v>
      </c>
      <c r="G165">
        <v>42</v>
      </c>
      <c r="H165">
        <v>39</v>
      </c>
    </row>
    <row r="166" spans="1:8" x14ac:dyDescent="0.2">
      <c r="A166" s="1">
        <v>44833</v>
      </c>
      <c r="B166">
        <v>27</v>
      </c>
      <c r="C166">
        <v>29</v>
      </c>
      <c r="D166">
        <v>31</v>
      </c>
      <c r="E166">
        <v>44</v>
      </c>
      <c r="F166">
        <v>46</v>
      </c>
      <c r="G166">
        <v>49</v>
      </c>
      <c r="H166">
        <v>42</v>
      </c>
    </row>
    <row r="167" spans="1:8" x14ac:dyDescent="0.2">
      <c r="A167" s="1">
        <v>44830</v>
      </c>
      <c r="B167">
        <v>6</v>
      </c>
      <c r="C167">
        <v>19</v>
      </c>
      <c r="D167">
        <v>24</v>
      </c>
      <c r="E167">
        <v>34</v>
      </c>
      <c r="F167">
        <v>43</v>
      </c>
      <c r="G167">
        <v>46</v>
      </c>
      <c r="H167">
        <v>21</v>
      </c>
    </row>
    <row r="168" spans="1:8" x14ac:dyDescent="0.2">
      <c r="A168" s="1">
        <v>44826</v>
      </c>
      <c r="B168">
        <v>3</v>
      </c>
      <c r="C168">
        <v>11</v>
      </c>
      <c r="D168">
        <v>19</v>
      </c>
      <c r="E168">
        <v>26</v>
      </c>
      <c r="F168">
        <v>43</v>
      </c>
      <c r="G168">
        <v>49</v>
      </c>
      <c r="H168">
        <v>37</v>
      </c>
    </row>
    <row r="169" spans="1:8" x14ac:dyDescent="0.2">
      <c r="A169" s="1">
        <v>44823</v>
      </c>
      <c r="B169">
        <v>1</v>
      </c>
      <c r="C169">
        <v>5</v>
      </c>
      <c r="D169">
        <v>14</v>
      </c>
      <c r="E169">
        <v>23</v>
      </c>
      <c r="F169">
        <v>40</v>
      </c>
      <c r="G169">
        <v>45</v>
      </c>
      <c r="H169">
        <v>16</v>
      </c>
    </row>
    <row r="170" spans="1:8" x14ac:dyDescent="0.2">
      <c r="A170" s="1">
        <v>44819</v>
      </c>
      <c r="B170">
        <v>13</v>
      </c>
      <c r="C170">
        <v>15</v>
      </c>
      <c r="D170">
        <v>27</v>
      </c>
      <c r="E170">
        <v>29</v>
      </c>
      <c r="F170">
        <v>38</v>
      </c>
      <c r="G170">
        <v>45</v>
      </c>
      <c r="H170">
        <v>40</v>
      </c>
    </row>
    <row r="171" spans="1:8" x14ac:dyDescent="0.2">
      <c r="A171" s="1">
        <v>44816</v>
      </c>
      <c r="B171">
        <v>8</v>
      </c>
      <c r="C171">
        <v>15</v>
      </c>
      <c r="D171">
        <v>21</v>
      </c>
      <c r="E171">
        <v>22</v>
      </c>
      <c r="F171">
        <v>39</v>
      </c>
      <c r="G171">
        <v>43</v>
      </c>
      <c r="H171">
        <v>44</v>
      </c>
    </row>
    <row r="172" spans="1:8" x14ac:dyDescent="0.2">
      <c r="A172" s="1">
        <v>44812</v>
      </c>
      <c r="B172">
        <v>1</v>
      </c>
      <c r="C172">
        <v>8</v>
      </c>
      <c r="D172">
        <v>11</v>
      </c>
      <c r="E172">
        <v>12</v>
      </c>
      <c r="F172">
        <v>22</v>
      </c>
      <c r="G172">
        <v>46</v>
      </c>
      <c r="H172">
        <v>35</v>
      </c>
    </row>
    <row r="173" spans="1:8" x14ac:dyDescent="0.2">
      <c r="A173" s="1">
        <v>44809</v>
      </c>
      <c r="B173">
        <v>4</v>
      </c>
      <c r="C173">
        <v>9</v>
      </c>
      <c r="D173">
        <v>13</v>
      </c>
      <c r="E173">
        <v>18</v>
      </c>
      <c r="F173">
        <v>34</v>
      </c>
      <c r="G173">
        <v>47</v>
      </c>
      <c r="H173">
        <v>3</v>
      </c>
    </row>
    <row r="174" spans="1:8" x14ac:dyDescent="0.2">
      <c r="A174" s="1">
        <v>44805</v>
      </c>
      <c r="B174">
        <v>1</v>
      </c>
      <c r="C174">
        <v>18</v>
      </c>
      <c r="D174">
        <v>28</v>
      </c>
      <c r="E174">
        <v>42</v>
      </c>
      <c r="F174">
        <v>43</v>
      </c>
      <c r="G174">
        <v>48</v>
      </c>
      <c r="H174">
        <v>45</v>
      </c>
    </row>
    <row r="175" spans="1:8" x14ac:dyDescent="0.2">
      <c r="A175" s="1">
        <v>44802</v>
      </c>
      <c r="B175">
        <v>4</v>
      </c>
      <c r="C175">
        <v>8</v>
      </c>
      <c r="D175">
        <v>9</v>
      </c>
      <c r="E175">
        <v>15</v>
      </c>
      <c r="F175">
        <v>22</v>
      </c>
      <c r="G175">
        <v>31</v>
      </c>
      <c r="H175">
        <v>13</v>
      </c>
    </row>
    <row r="176" spans="1:8" x14ac:dyDescent="0.2">
      <c r="A176" s="1">
        <v>44798</v>
      </c>
      <c r="B176">
        <v>3</v>
      </c>
      <c r="C176">
        <v>5</v>
      </c>
      <c r="D176">
        <v>13</v>
      </c>
      <c r="E176">
        <v>23</v>
      </c>
      <c r="F176">
        <v>24</v>
      </c>
      <c r="G176">
        <v>48</v>
      </c>
      <c r="H176">
        <v>10</v>
      </c>
    </row>
    <row r="177" spans="1:8" x14ac:dyDescent="0.2">
      <c r="A177" s="1">
        <v>44795</v>
      </c>
      <c r="B177">
        <v>5</v>
      </c>
      <c r="C177">
        <v>20</v>
      </c>
      <c r="D177">
        <v>23</v>
      </c>
      <c r="E177">
        <v>36</v>
      </c>
      <c r="F177">
        <v>42</v>
      </c>
      <c r="G177">
        <v>44</v>
      </c>
      <c r="H177">
        <v>47</v>
      </c>
    </row>
    <row r="178" spans="1:8" x14ac:dyDescent="0.2">
      <c r="A178" s="1">
        <v>44791</v>
      </c>
      <c r="B178">
        <v>2</v>
      </c>
      <c r="C178">
        <v>4</v>
      </c>
      <c r="D178">
        <v>12</v>
      </c>
      <c r="E178">
        <v>18</v>
      </c>
      <c r="F178">
        <v>28</v>
      </c>
      <c r="G178">
        <v>43</v>
      </c>
      <c r="H178">
        <v>38</v>
      </c>
    </row>
    <row r="179" spans="1:8" x14ac:dyDescent="0.2">
      <c r="A179" s="1">
        <v>44788</v>
      </c>
      <c r="B179">
        <v>7</v>
      </c>
      <c r="C179">
        <v>22</v>
      </c>
      <c r="D179">
        <v>29</v>
      </c>
      <c r="E179">
        <v>34</v>
      </c>
      <c r="F179">
        <v>38</v>
      </c>
      <c r="G179">
        <v>41</v>
      </c>
      <c r="H179">
        <v>35</v>
      </c>
    </row>
    <row r="180" spans="1:8" x14ac:dyDescent="0.2">
      <c r="A180" s="1">
        <v>44784</v>
      </c>
      <c r="B180">
        <v>10</v>
      </c>
      <c r="C180">
        <v>12</v>
      </c>
      <c r="D180">
        <v>16</v>
      </c>
      <c r="E180">
        <v>18</v>
      </c>
      <c r="F180">
        <v>32</v>
      </c>
      <c r="G180">
        <v>44</v>
      </c>
      <c r="H180">
        <v>22</v>
      </c>
    </row>
    <row r="181" spans="1:8" x14ac:dyDescent="0.2">
      <c r="A181" s="1">
        <v>44781</v>
      </c>
      <c r="B181">
        <v>2</v>
      </c>
      <c r="C181">
        <v>9</v>
      </c>
      <c r="D181">
        <v>33</v>
      </c>
      <c r="E181">
        <v>34</v>
      </c>
      <c r="F181">
        <v>37</v>
      </c>
      <c r="G181">
        <v>49</v>
      </c>
      <c r="H181">
        <v>29</v>
      </c>
    </row>
    <row r="182" spans="1:8" x14ac:dyDescent="0.2">
      <c r="A182" s="1">
        <v>44778</v>
      </c>
      <c r="B182">
        <v>14</v>
      </c>
      <c r="C182">
        <v>18</v>
      </c>
      <c r="D182">
        <v>24</v>
      </c>
      <c r="E182">
        <v>37</v>
      </c>
      <c r="F182">
        <v>43</v>
      </c>
      <c r="G182">
        <v>45</v>
      </c>
      <c r="H182">
        <v>8</v>
      </c>
    </row>
    <row r="183" spans="1:8" x14ac:dyDescent="0.2">
      <c r="A183" s="1">
        <v>44774</v>
      </c>
      <c r="B183">
        <v>3</v>
      </c>
      <c r="C183">
        <v>10</v>
      </c>
      <c r="D183">
        <v>12</v>
      </c>
      <c r="E183">
        <v>29</v>
      </c>
      <c r="F183">
        <v>45</v>
      </c>
      <c r="G183">
        <v>47</v>
      </c>
      <c r="H183">
        <v>26</v>
      </c>
    </row>
    <row r="184" spans="1:8" x14ac:dyDescent="0.2">
      <c r="A184" s="1">
        <v>44770</v>
      </c>
      <c r="B184">
        <v>1</v>
      </c>
      <c r="C184">
        <v>2</v>
      </c>
      <c r="D184">
        <v>25</v>
      </c>
      <c r="E184">
        <v>33</v>
      </c>
      <c r="F184">
        <v>36</v>
      </c>
      <c r="G184">
        <v>40</v>
      </c>
      <c r="H184">
        <v>7</v>
      </c>
    </row>
    <row r="185" spans="1:8" x14ac:dyDescent="0.2">
      <c r="A185" s="1">
        <v>44767</v>
      </c>
      <c r="B185">
        <v>2</v>
      </c>
      <c r="C185">
        <v>6</v>
      </c>
      <c r="D185">
        <v>29</v>
      </c>
      <c r="E185">
        <v>30</v>
      </c>
      <c r="F185">
        <v>31</v>
      </c>
      <c r="G185">
        <v>44</v>
      </c>
      <c r="H185">
        <v>40</v>
      </c>
    </row>
    <row r="186" spans="1:8" x14ac:dyDescent="0.2">
      <c r="A186" s="1">
        <v>44763</v>
      </c>
      <c r="B186">
        <v>4</v>
      </c>
      <c r="C186">
        <v>15</v>
      </c>
      <c r="D186">
        <v>31</v>
      </c>
      <c r="E186">
        <v>42</v>
      </c>
      <c r="F186">
        <v>43</v>
      </c>
      <c r="G186">
        <v>47</v>
      </c>
      <c r="H186">
        <v>39</v>
      </c>
    </row>
    <row r="187" spans="1:8" x14ac:dyDescent="0.2">
      <c r="A187" s="1">
        <v>44760</v>
      </c>
      <c r="B187">
        <v>3</v>
      </c>
      <c r="C187">
        <v>20</v>
      </c>
      <c r="D187">
        <v>36</v>
      </c>
      <c r="E187">
        <v>41</v>
      </c>
      <c r="F187">
        <v>43</v>
      </c>
      <c r="G187">
        <v>47</v>
      </c>
      <c r="H187">
        <v>9</v>
      </c>
    </row>
    <row r="188" spans="1:8" x14ac:dyDescent="0.2">
      <c r="A188" s="1">
        <v>44756</v>
      </c>
      <c r="B188">
        <v>8</v>
      </c>
      <c r="C188">
        <v>10</v>
      </c>
      <c r="D188">
        <v>15</v>
      </c>
      <c r="E188">
        <v>36</v>
      </c>
      <c r="F188">
        <v>39</v>
      </c>
      <c r="G188">
        <v>44</v>
      </c>
      <c r="H188">
        <v>9</v>
      </c>
    </row>
    <row r="189" spans="1:8" x14ac:dyDescent="0.2">
      <c r="A189" s="1">
        <v>44753</v>
      </c>
      <c r="B189">
        <v>1</v>
      </c>
      <c r="C189">
        <v>6</v>
      </c>
      <c r="D189">
        <v>13</v>
      </c>
      <c r="E189">
        <v>25</v>
      </c>
      <c r="F189">
        <v>34</v>
      </c>
      <c r="G189">
        <v>43</v>
      </c>
      <c r="H189">
        <v>42</v>
      </c>
    </row>
    <row r="190" spans="1:8" x14ac:dyDescent="0.2">
      <c r="A190" s="1">
        <v>44749</v>
      </c>
      <c r="B190">
        <v>16</v>
      </c>
      <c r="C190">
        <v>17</v>
      </c>
      <c r="D190">
        <v>20</v>
      </c>
      <c r="E190">
        <v>33</v>
      </c>
      <c r="F190">
        <v>39</v>
      </c>
      <c r="G190">
        <v>49</v>
      </c>
      <c r="H190">
        <v>7</v>
      </c>
    </row>
    <row r="191" spans="1:8" x14ac:dyDescent="0.2">
      <c r="A191" s="1">
        <v>44746</v>
      </c>
      <c r="B191">
        <v>2</v>
      </c>
      <c r="C191">
        <v>3</v>
      </c>
      <c r="D191">
        <v>9</v>
      </c>
      <c r="E191">
        <v>27</v>
      </c>
      <c r="F191">
        <v>28</v>
      </c>
      <c r="G191">
        <v>38</v>
      </c>
      <c r="H191">
        <v>15</v>
      </c>
    </row>
    <row r="192" spans="1:8" x14ac:dyDescent="0.2">
      <c r="A192" s="1">
        <v>44742</v>
      </c>
      <c r="B192">
        <v>2</v>
      </c>
      <c r="C192">
        <v>15</v>
      </c>
      <c r="D192">
        <v>17</v>
      </c>
      <c r="E192">
        <v>27</v>
      </c>
      <c r="F192">
        <v>41</v>
      </c>
      <c r="G192">
        <v>48</v>
      </c>
      <c r="H192">
        <v>38</v>
      </c>
    </row>
    <row r="193" spans="1:8" x14ac:dyDescent="0.2">
      <c r="A193" s="1">
        <v>44739</v>
      </c>
      <c r="B193">
        <v>21</v>
      </c>
      <c r="C193">
        <v>24</v>
      </c>
      <c r="D193">
        <v>27</v>
      </c>
      <c r="E193">
        <v>32</v>
      </c>
      <c r="F193">
        <v>34</v>
      </c>
      <c r="G193">
        <v>38</v>
      </c>
      <c r="H193">
        <v>41</v>
      </c>
    </row>
    <row r="194" spans="1:8" x14ac:dyDescent="0.2">
      <c r="A194" s="1">
        <v>44735</v>
      </c>
      <c r="B194">
        <v>24</v>
      </c>
      <c r="C194">
        <v>27</v>
      </c>
      <c r="D194">
        <v>32</v>
      </c>
      <c r="E194">
        <v>38</v>
      </c>
      <c r="F194">
        <v>46</v>
      </c>
      <c r="G194">
        <v>49</v>
      </c>
      <c r="H194">
        <v>11</v>
      </c>
    </row>
    <row r="195" spans="1:8" x14ac:dyDescent="0.2">
      <c r="A195" s="1">
        <v>44732</v>
      </c>
      <c r="B195">
        <v>20</v>
      </c>
      <c r="C195">
        <v>25</v>
      </c>
      <c r="D195">
        <v>28</v>
      </c>
      <c r="E195">
        <v>33</v>
      </c>
      <c r="F195">
        <v>40</v>
      </c>
      <c r="G195">
        <v>49</v>
      </c>
      <c r="H195">
        <v>1</v>
      </c>
    </row>
    <row r="196" spans="1:8" x14ac:dyDescent="0.2">
      <c r="A196" s="1">
        <v>44728</v>
      </c>
      <c r="B196">
        <v>2</v>
      </c>
      <c r="C196">
        <v>7</v>
      </c>
      <c r="D196">
        <v>16</v>
      </c>
      <c r="E196">
        <v>18</v>
      </c>
      <c r="F196">
        <v>24</v>
      </c>
      <c r="G196">
        <v>45</v>
      </c>
      <c r="H196">
        <v>36</v>
      </c>
    </row>
    <row r="197" spans="1:8" x14ac:dyDescent="0.2">
      <c r="A197" s="1">
        <v>44725</v>
      </c>
      <c r="B197">
        <v>3</v>
      </c>
      <c r="C197">
        <v>5</v>
      </c>
      <c r="D197">
        <v>12</v>
      </c>
      <c r="E197">
        <v>16</v>
      </c>
      <c r="F197">
        <v>30</v>
      </c>
      <c r="G197">
        <v>45</v>
      </c>
      <c r="H197">
        <v>49</v>
      </c>
    </row>
    <row r="198" spans="1:8" x14ac:dyDescent="0.2">
      <c r="A198" s="1">
        <v>44721</v>
      </c>
      <c r="B198">
        <v>7</v>
      </c>
      <c r="C198">
        <v>14</v>
      </c>
      <c r="D198">
        <v>15</v>
      </c>
      <c r="E198">
        <v>16</v>
      </c>
      <c r="F198">
        <v>17</v>
      </c>
      <c r="G198">
        <v>38</v>
      </c>
      <c r="H198">
        <v>44</v>
      </c>
    </row>
    <row r="199" spans="1:8" x14ac:dyDescent="0.2">
      <c r="A199" s="1">
        <v>44718</v>
      </c>
      <c r="B199">
        <v>12</v>
      </c>
      <c r="C199">
        <v>28</v>
      </c>
      <c r="D199">
        <v>29</v>
      </c>
      <c r="E199">
        <v>34</v>
      </c>
      <c r="F199">
        <v>41</v>
      </c>
      <c r="G199">
        <v>47</v>
      </c>
      <c r="H199">
        <v>16</v>
      </c>
    </row>
    <row r="200" spans="1:8" x14ac:dyDescent="0.2">
      <c r="A200" s="1">
        <v>44714</v>
      </c>
      <c r="B200">
        <v>12</v>
      </c>
      <c r="C200">
        <v>19</v>
      </c>
      <c r="D200">
        <v>26</v>
      </c>
      <c r="E200">
        <v>28</v>
      </c>
      <c r="F200">
        <v>46</v>
      </c>
      <c r="G200">
        <v>49</v>
      </c>
      <c r="H200">
        <v>41</v>
      </c>
    </row>
    <row r="201" spans="1:8" x14ac:dyDescent="0.2">
      <c r="A201" s="1">
        <v>44711</v>
      </c>
      <c r="B201">
        <v>8</v>
      </c>
      <c r="C201">
        <v>13</v>
      </c>
      <c r="D201">
        <v>19</v>
      </c>
      <c r="E201">
        <v>34</v>
      </c>
      <c r="F201">
        <v>37</v>
      </c>
      <c r="G201">
        <v>47</v>
      </c>
      <c r="H201">
        <v>29</v>
      </c>
    </row>
    <row r="202" spans="1:8" x14ac:dyDescent="0.2">
      <c r="A202" s="1">
        <v>44707</v>
      </c>
      <c r="B202">
        <v>6</v>
      </c>
      <c r="C202">
        <v>11</v>
      </c>
      <c r="D202">
        <v>30</v>
      </c>
      <c r="E202">
        <v>34</v>
      </c>
      <c r="F202">
        <v>43</v>
      </c>
      <c r="G202">
        <v>45</v>
      </c>
      <c r="H202">
        <v>2</v>
      </c>
    </row>
    <row r="203" spans="1:8" x14ac:dyDescent="0.2">
      <c r="A203" s="1">
        <v>44704</v>
      </c>
      <c r="B203">
        <v>7</v>
      </c>
      <c r="C203">
        <v>10</v>
      </c>
      <c r="D203">
        <v>16</v>
      </c>
      <c r="E203">
        <v>21</v>
      </c>
      <c r="F203">
        <v>27</v>
      </c>
      <c r="G203">
        <v>35</v>
      </c>
      <c r="H203">
        <v>22</v>
      </c>
    </row>
    <row r="204" spans="1:8" x14ac:dyDescent="0.2">
      <c r="A204" s="1">
        <v>44700</v>
      </c>
      <c r="B204">
        <v>5</v>
      </c>
      <c r="C204">
        <v>8</v>
      </c>
      <c r="D204">
        <v>13</v>
      </c>
      <c r="E204">
        <v>20</v>
      </c>
      <c r="F204">
        <v>21</v>
      </c>
      <c r="G204">
        <v>46</v>
      </c>
      <c r="H204">
        <v>31</v>
      </c>
    </row>
    <row r="205" spans="1:8" x14ac:dyDescent="0.2">
      <c r="A205" s="1">
        <v>44697</v>
      </c>
      <c r="B205">
        <v>21</v>
      </c>
      <c r="C205">
        <v>22</v>
      </c>
      <c r="D205">
        <v>40</v>
      </c>
      <c r="E205">
        <v>41</v>
      </c>
      <c r="F205">
        <v>42</v>
      </c>
      <c r="G205">
        <v>46</v>
      </c>
      <c r="H205">
        <v>9</v>
      </c>
    </row>
    <row r="206" spans="1:8" x14ac:dyDescent="0.2">
      <c r="A206" s="1">
        <v>44693</v>
      </c>
      <c r="B206">
        <v>15</v>
      </c>
      <c r="C206">
        <v>20</v>
      </c>
      <c r="D206">
        <v>36</v>
      </c>
      <c r="E206">
        <v>38</v>
      </c>
      <c r="F206">
        <v>41</v>
      </c>
      <c r="G206">
        <v>46</v>
      </c>
      <c r="H206">
        <v>10</v>
      </c>
    </row>
    <row r="207" spans="1:8" x14ac:dyDescent="0.2">
      <c r="A207" s="1">
        <v>44690</v>
      </c>
      <c r="B207">
        <v>5</v>
      </c>
      <c r="C207">
        <v>12</v>
      </c>
      <c r="D207">
        <v>15</v>
      </c>
      <c r="E207">
        <v>21</v>
      </c>
      <c r="F207">
        <v>30</v>
      </c>
      <c r="G207">
        <v>39</v>
      </c>
      <c r="H207">
        <v>6</v>
      </c>
    </row>
    <row r="208" spans="1:8" x14ac:dyDescent="0.2">
      <c r="A208" s="1">
        <v>44686</v>
      </c>
      <c r="B208">
        <v>7</v>
      </c>
      <c r="C208">
        <v>13</v>
      </c>
      <c r="D208">
        <v>35</v>
      </c>
      <c r="E208">
        <v>39</v>
      </c>
      <c r="F208">
        <v>41</v>
      </c>
      <c r="G208">
        <v>45</v>
      </c>
      <c r="H208">
        <v>1</v>
      </c>
    </row>
    <row r="209" spans="1:8" x14ac:dyDescent="0.2">
      <c r="A209" s="1">
        <v>44683</v>
      </c>
      <c r="B209">
        <v>12</v>
      </c>
      <c r="C209">
        <v>14</v>
      </c>
      <c r="D209">
        <v>23</v>
      </c>
      <c r="E209">
        <v>32</v>
      </c>
      <c r="F209">
        <v>35</v>
      </c>
      <c r="G209">
        <v>38</v>
      </c>
      <c r="H209">
        <v>13</v>
      </c>
    </row>
    <row r="210" spans="1:8" x14ac:dyDescent="0.2">
      <c r="A210" s="1">
        <v>44679</v>
      </c>
      <c r="B210">
        <v>5</v>
      </c>
      <c r="C210">
        <v>6</v>
      </c>
      <c r="D210">
        <v>11</v>
      </c>
      <c r="E210">
        <v>16</v>
      </c>
      <c r="F210">
        <v>22</v>
      </c>
      <c r="G210">
        <v>37</v>
      </c>
      <c r="H210">
        <v>44</v>
      </c>
    </row>
    <row r="211" spans="1:8" x14ac:dyDescent="0.2">
      <c r="A211" s="1">
        <v>44676</v>
      </c>
      <c r="B211">
        <v>6</v>
      </c>
      <c r="C211">
        <v>16</v>
      </c>
      <c r="D211">
        <v>26</v>
      </c>
      <c r="E211">
        <v>32</v>
      </c>
      <c r="F211">
        <v>39</v>
      </c>
      <c r="G211">
        <v>47</v>
      </c>
      <c r="H211">
        <v>23</v>
      </c>
    </row>
    <row r="212" spans="1:8" x14ac:dyDescent="0.2">
      <c r="A212" s="1">
        <v>44672</v>
      </c>
      <c r="B212">
        <v>13</v>
      </c>
      <c r="C212">
        <v>16</v>
      </c>
      <c r="D212">
        <v>19</v>
      </c>
      <c r="E212">
        <v>32</v>
      </c>
      <c r="F212">
        <v>38</v>
      </c>
      <c r="G212">
        <v>43</v>
      </c>
      <c r="H212">
        <v>20</v>
      </c>
    </row>
    <row r="213" spans="1:8" x14ac:dyDescent="0.2">
      <c r="A213" s="1">
        <v>44669</v>
      </c>
      <c r="B213">
        <v>12</v>
      </c>
      <c r="C213">
        <v>20</v>
      </c>
      <c r="D213">
        <v>33</v>
      </c>
      <c r="E213">
        <v>39</v>
      </c>
      <c r="F213">
        <v>42</v>
      </c>
      <c r="G213">
        <v>48</v>
      </c>
      <c r="H213">
        <v>49</v>
      </c>
    </row>
    <row r="214" spans="1:8" x14ac:dyDescent="0.2">
      <c r="A214" s="1">
        <v>44665</v>
      </c>
      <c r="B214">
        <v>4</v>
      </c>
      <c r="C214">
        <v>6</v>
      </c>
      <c r="D214">
        <v>23</v>
      </c>
      <c r="E214">
        <v>26</v>
      </c>
      <c r="F214">
        <v>29</v>
      </c>
      <c r="G214">
        <v>30</v>
      </c>
      <c r="H214">
        <v>36</v>
      </c>
    </row>
    <row r="215" spans="1:8" x14ac:dyDescent="0.2">
      <c r="A215" s="1">
        <v>44662</v>
      </c>
      <c r="B215">
        <v>2</v>
      </c>
      <c r="C215">
        <v>12</v>
      </c>
      <c r="D215">
        <v>18</v>
      </c>
      <c r="E215">
        <v>27</v>
      </c>
      <c r="F215">
        <v>36</v>
      </c>
      <c r="G215">
        <v>49</v>
      </c>
      <c r="H215">
        <v>6</v>
      </c>
    </row>
    <row r="216" spans="1:8" x14ac:dyDescent="0.2">
      <c r="A216" s="1">
        <v>44658</v>
      </c>
      <c r="B216">
        <v>1</v>
      </c>
      <c r="C216">
        <v>7</v>
      </c>
      <c r="D216">
        <v>10</v>
      </c>
      <c r="E216">
        <v>28</v>
      </c>
      <c r="F216">
        <v>31</v>
      </c>
      <c r="G216">
        <v>44</v>
      </c>
      <c r="H216">
        <v>9</v>
      </c>
    </row>
    <row r="217" spans="1:8" x14ac:dyDescent="0.2">
      <c r="A217" s="1">
        <v>44655</v>
      </c>
      <c r="B217">
        <v>14</v>
      </c>
      <c r="C217">
        <v>15</v>
      </c>
      <c r="D217">
        <v>28</v>
      </c>
      <c r="E217">
        <v>31</v>
      </c>
      <c r="F217">
        <v>40</v>
      </c>
      <c r="G217">
        <v>42</v>
      </c>
      <c r="H217">
        <v>44</v>
      </c>
    </row>
    <row r="218" spans="1:8" x14ac:dyDescent="0.2">
      <c r="A218" s="1">
        <v>44651</v>
      </c>
      <c r="B218">
        <v>1</v>
      </c>
      <c r="C218">
        <v>4</v>
      </c>
      <c r="D218">
        <v>10</v>
      </c>
      <c r="E218">
        <v>22</v>
      </c>
      <c r="F218">
        <v>24</v>
      </c>
      <c r="G218">
        <v>45</v>
      </c>
      <c r="H218">
        <v>47</v>
      </c>
    </row>
    <row r="219" spans="1:8" x14ac:dyDescent="0.2">
      <c r="A219" s="1">
        <v>44648</v>
      </c>
      <c r="B219">
        <v>5</v>
      </c>
      <c r="C219">
        <v>9</v>
      </c>
      <c r="D219">
        <v>10</v>
      </c>
      <c r="E219">
        <v>12</v>
      </c>
      <c r="F219">
        <v>39</v>
      </c>
      <c r="G219">
        <v>44</v>
      </c>
      <c r="H219">
        <v>14</v>
      </c>
    </row>
    <row r="220" spans="1:8" x14ac:dyDescent="0.2">
      <c r="A220" s="1">
        <v>44644</v>
      </c>
      <c r="B220">
        <v>3</v>
      </c>
      <c r="C220">
        <v>12</v>
      </c>
      <c r="D220">
        <v>15</v>
      </c>
      <c r="E220">
        <v>22</v>
      </c>
      <c r="F220">
        <v>34</v>
      </c>
      <c r="G220">
        <v>45</v>
      </c>
      <c r="H220">
        <v>2</v>
      </c>
    </row>
    <row r="221" spans="1:8" x14ac:dyDescent="0.2">
      <c r="A221" s="1">
        <v>44641</v>
      </c>
      <c r="B221">
        <v>1</v>
      </c>
      <c r="C221">
        <v>20</v>
      </c>
      <c r="D221">
        <v>22</v>
      </c>
      <c r="E221">
        <v>23</v>
      </c>
      <c r="F221">
        <v>24</v>
      </c>
      <c r="G221">
        <v>31</v>
      </c>
      <c r="H221">
        <v>2</v>
      </c>
    </row>
    <row r="222" spans="1:8" x14ac:dyDescent="0.2">
      <c r="A222" s="1">
        <v>44637</v>
      </c>
      <c r="B222">
        <v>5</v>
      </c>
      <c r="C222">
        <v>7</v>
      </c>
      <c r="D222">
        <v>30</v>
      </c>
      <c r="E222">
        <v>42</v>
      </c>
      <c r="F222">
        <v>47</v>
      </c>
      <c r="G222">
        <v>49</v>
      </c>
      <c r="H222">
        <v>17</v>
      </c>
    </row>
    <row r="223" spans="1:8" x14ac:dyDescent="0.2">
      <c r="A223" s="1">
        <v>44634</v>
      </c>
      <c r="B223">
        <v>19</v>
      </c>
      <c r="C223">
        <v>37</v>
      </c>
      <c r="D223">
        <v>38</v>
      </c>
      <c r="E223">
        <v>45</v>
      </c>
      <c r="F223">
        <v>47</v>
      </c>
      <c r="G223">
        <v>49</v>
      </c>
      <c r="H223">
        <v>25</v>
      </c>
    </row>
    <row r="224" spans="1:8" x14ac:dyDescent="0.2">
      <c r="A224" s="1">
        <v>44630</v>
      </c>
      <c r="B224">
        <v>1</v>
      </c>
      <c r="C224">
        <v>8</v>
      </c>
      <c r="D224">
        <v>25</v>
      </c>
      <c r="E224">
        <v>32</v>
      </c>
      <c r="F224">
        <v>45</v>
      </c>
      <c r="G224">
        <v>46</v>
      </c>
      <c r="H224">
        <v>44</v>
      </c>
    </row>
    <row r="225" spans="1:8" x14ac:dyDescent="0.2">
      <c r="A225" s="1">
        <v>44627</v>
      </c>
      <c r="B225">
        <v>19</v>
      </c>
      <c r="C225">
        <v>22</v>
      </c>
      <c r="D225">
        <v>24</v>
      </c>
      <c r="E225">
        <v>28</v>
      </c>
      <c r="F225">
        <v>29</v>
      </c>
      <c r="G225">
        <v>42</v>
      </c>
      <c r="H225">
        <v>40</v>
      </c>
    </row>
    <row r="226" spans="1:8" x14ac:dyDescent="0.2">
      <c r="A226" s="1">
        <v>44623</v>
      </c>
      <c r="B226">
        <v>8</v>
      </c>
      <c r="C226">
        <v>13</v>
      </c>
      <c r="D226">
        <v>24</v>
      </c>
      <c r="E226">
        <v>30</v>
      </c>
      <c r="F226">
        <v>40</v>
      </c>
      <c r="G226">
        <v>44</v>
      </c>
      <c r="H226">
        <v>45</v>
      </c>
    </row>
    <row r="227" spans="1:8" x14ac:dyDescent="0.2">
      <c r="A227" s="1">
        <v>44620</v>
      </c>
      <c r="B227">
        <v>1</v>
      </c>
      <c r="C227">
        <v>9</v>
      </c>
      <c r="D227">
        <v>20</v>
      </c>
      <c r="E227">
        <v>27</v>
      </c>
      <c r="F227">
        <v>37</v>
      </c>
      <c r="G227">
        <v>49</v>
      </c>
      <c r="H227">
        <v>33</v>
      </c>
    </row>
    <row r="228" spans="1:8" x14ac:dyDescent="0.2">
      <c r="A228" s="1">
        <v>44616</v>
      </c>
      <c r="B228">
        <v>4</v>
      </c>
      <c r="C228">
        <v>11</v>
      </c>
      <c r="D228">
        <v>15</v>
      </c>
      <c r="E228">
        <v>25</v>
      </c>
      <c r="F228">
        <v>41</v>
      </c>
      <c r="G228">
        <v>48</v>
      </c>
      <c r="H228">
        <v>14</v>
      </c>
    </row>
    <row r="229" spans="1:8" x14ac:dyDescent="0.2">
      <c r="A229" s="1">
        <v>44613</v>
      </c>
      <c r="B229">
        <v>1</v>
      </c>
      <c r="C229">
        <v>19</v>
      </c>
      <c r="D229">
        <v>22</v>
      </c>
      <c r="E229">
        <v>27</v>
      </c>
      <c r="F229">
        <v>37</v>
      </c>
      <c r="G229">
        <v>44</v>
      </c>
      <c r="H229">
        <v>25</v>
      </c>
    </row>
    <row r="230" spans="1:8" x14ac:dyDescent="0.2">
      <c r="A230" s="1">
        <v>44609</v>
      </c>
      <c r="B230">
        <v>1</v>
      </c>
      <c r="C230">
        <v>4</v>
      </c>
      <c r="D230">
        <v>19</v>
      </c>
      <c r="E230">
        <v>35</v>
      </c>
      <c r="F230">
        <v>37</v>
      </c>
      <c r="G230">
        <v>45</v>
      </c>
      <c r="H230">
        <v>49</v>
      </c>
    </row>
    <row r="231" spans="1:8" x14ac:dyDescent="0.2">
      <c r="A231" s="1">
        <v>44606</v>
      </c>
      <c r="B231">
        <v>10</v>
      </c>
      <c r="C231">
        <v>23</v>
      </c>
      <c r="D231">
        <v>29</v>
      </c>
      <c r="E231">
        <v>33</v>
      </c>
      <c r="F231">
        <v>37</v>
      </c>
      <c r="G231">
        <v>43</v>
      </c>
      <c r="H231">
        <v>8</v>
      </c>
    </row>
    <row r="232" spans="1:8" x14ac:dyDescent="0.2">
      <c r="A232" s="1">
        <v>44603</v>
      </c>
      <c r="B232">
        <v>9</v>
      </c>
      <c r="C232">
        <v>13</v>
      </c>
      <c r="D232">
        <v>14</v>
      </c>
      <c r="E232">
        <v>16</v>
      </c>
      <c r="F232">
        <v>18</v>
      </c>
      <c r="G232">
        <v>28</v>
      </c>
      <c r="H232">
        <v>10</v>
      </c>
    </row>
    <row r="233" spans="1:8" x14ac:dyDescent="0.2">
      <c r="A233" s="1">
        <v>44599</v>
      </c>
      <c r="B233">
        <v>1</v>
      </c>
      <c r="C233">
        <v>11</v>
      </c>
      <c r="D233">
        <v>17</v>
      </c>
      <c r="E233">
        <v>28</v>
      </c>
      <c r="F233">
        <v>32</v>
      </c>
      <c r="G233">
        <v>35</v>
      </c>
      <c r="H233">
        <v>44</v>
      </c>
    </row>
    <row r="234" spans="1:8" x14ac:dyDescent="0.2">
      <c r="A234" s="1">
        <v>44595</v>
      </c>
      <c r="B234">
        <v>15</v>
      </c>
      <c r="C234">
        <v>28</v>
      </c>
      <c r="D234">
        <v>31</v>
      </c>
      <c r="E234">
        <v>32</v>
      </c>
      <c r="F234">
        <v>44</v>
      </c>
      <c r="G234">
        <v>49</v>
      </c>
      <c r="H234">
        <v>18</v>
      </c>
    </row>
    <row r="235" spans="1:8" x14ac:dyDescent="0.2">
      <c r="A235" s="1">
        <v>44592</v>
      </c>
      <c r="B235">
        <v>5</v>
      </c>
      <c r="C235">
        <v>6</v>
      </c>
      <c r="D235">
        <v>10</v>
      </c>
      <c r="E235">
        <v>22</v>
      </c>
      <c r="F235">
        <v>23</v>
      </c>
      <c r="G235">
        <v>40</v>
      </c>
      <c r="H235">
        <v>38</v>
      </c>
    </row>
    <row r="236" spans="1:8" x14ac:dyDescent="0.2">
      <c r="A236" s="1">
        <v>44588</v>
      </c>
      <c r="B236">
        <v>7</v>
      </c>
      <c r="C236">
        <v>21</v>
      </c>
      <c r="D236">
        <v>27</v>
      </c>
      <c r="E236">
        <v>30</v>
      </c>
      <c r="F236">
        <v>32</v>
      </c>
      <c r="G236">
        <v>34</v>
      </c>
      <c r="H236">
        <v>39</v>
      </c>
    </row>
    <row r="237" spans="1:8" x14ac:dyDescent="0.2">
      <c r="A237" s="1">
        <v>44585</v>
      </c>
      <c r="B237">
        <v>1</v>
      </c>
      <c r="C237">
        <v>8</v>
      </c>
      <c r="D237">
        <v>10</v>
      </c>
      <c r="E237">
        <v>31</v>
      </c>
      <c r="F237">
        <v>32</v>
      </c>
      <c r="G237">
        <v>38</v>
      </c>
      <c r="H237">
        <v>39</v>
      </c>
    </row>
    <row r="238" spans="1:8" x14ac:dyDescent="0.2">
      <c r="A238" s="1">
        <v>44582</v>
      </c>
      <c r="B238">
        <v>2</v>
      </c>
      <c r="C238">
        <v>4</v>
      </c>
      <c r="D238">
        <v>11</v>
      </c>
      <c r="E238">
        <v>13</v>
      </c>
      <c r="F238">
        <v>28</v>
      </c>
      <c r="G238">
        <v>38</v>
      </c>
      <c r="H238">
        <v>49</v>
      </c>
    </row>
    <row r="239" spans="1:8" x14ac:dyDescent="0.2">
      <c r="A239" s="1">
        <v>44578</v>
      </c>
      <c r="B239">
        <v>4</v>
      </c>
      <c r="C239">
        <v>13</v>
      </c>
      <c r="D239">
        <v>26</v>
      </c>
      <c r="E239">
        <v>31</v>
      </c>
      <c r="F239">
        <v>33</v>
      </c>
      <c r="G239">
        <v>35</v>
      </c>
      <c r="H239">
        <v>29</v>
      </c>
    </row>
    <row r="240" spans="1:8" x14ac:dyDescent="0.2">
      <c r="A240" s="1">
        <v>44574</v>
      </c>
      <c r="B240">
        <v>3</v>
      </c>
      <c r="C240">
        <v>6</v>
      </c>
      <c r="D240">
        <v>18</v>
      </c>
      <c r="E240">
        <v>20</v>
      </c>
      <c r="F240">
        <v>26</v>
      </c>
      <c r="G240">
        <v>35</v>
      </c>
      <c r="H240">
        <v>34</v>
      </c>
    </row>
    <row r="241" spans="1:8" x14ac:dyDescent="0.2">
      <c r="A241" s="1">
        <v>44571</v>
      </c>
      <c r="B241">
        <v>8</v>
      </c>
      <c r="C241">
        <v>11</v>
      </c>
      <c r="D241">
        <v>17</v>
      </c>
      <c r="E241">
        <v>21</v>
      </c>
      <c r="F241">
        <v>30</v>
      </c>
      <c r="G241">
        <v>44</v>
      </c>
      <c r="H241">
        <v>48</v>
      </c>
    </row>
    <row r="242" spans="1:8" x14ac:dyDescent="0.2">
      <c r="A242" s="1">
        <v>44568</v>
      </c>
      <c r="B242">
        <v>3</v>
      </c>
      <c r="C242">
        <v>8</v>
      </c>
      <c r="D242">
        <v>11</v>
      </c>
      <c r="E242">
        <v>20</v>
      </c>
      <c r="F242">
        <v>44</v>
      </c>
      <c r="G242">
        <v>49</v>
      </c>
      <c r="H242">
        <v>32</v>
      </c>
    </row>
    <row r="243" spans="1:8" x14ac:dyDescent="0.2">
      <c r="A243" s="1">
        <v>44564</v>
      </c>
      <c r="B243">
        <v>6</v>
      </c>
      <c r="C243">
        <v>12</v>
      </c>
      <c r="D243">
        <v>20</v>
      </c>
      <c r="E243">
        <v>33</v>
      </c>
      <c r="F243">
        <v>46</v>
      </c>
      <c r="G243">
        <v>47</v>
      </c>
      <c r="H243">
        <v>49</v>
      </c>
    </row>
    <row r="244" spans="1:8" x14ac:dyDescent="0.2">
      <c r="A244" s="1">
        <v>44560</v>
      </c>
      <c r="B244">
        <v>4</v>
      </c>
      <c r="C244">
        <v>7</v>
      </c>
      <c r="D244">
        <v>12</v>
      </c>
      <c r="E244">
        <v>13</v>
      </c>
      <c r="F244">
        <v>21</v>
      </c>
      <c r="G244">
        <v>35</v>
      </c>
      <c r="H244">
        <v>29</v>
      </c>
    </row>
    <row r="245" spans="1:8" x14ac:dyDescent="0.2">
      <c r="A245" s="1">
        <v>44557</v>
      </c>
      <c r="B245">
        <v>3</v>
      </c>
      <c r="C245">
        <v>9</v>
      </c>
      <c r="D245">
        <v>13</v>
      </c>
      <c r="E245">
        <v>23</v>
      </c>
      <c r="F245">
        <v>24</v>
      </c>
      <c r="G245">
        <v>44</v>
      </c>
      <c r="H245">
        <v>7</v>
      </c>
    </row>
    <row r="246" spans="1:8" x14ac:dyDescent="0.2">
      <c r="A246" s="1">
        <v>44553</v>
      </c>
      <c r="B246">
        <v>1</v>
      </c>
      <c r="C246">
        <v>21</v>
      </c>
      <c r="D246">
        <v>35</v>
      </c>
      <c r="E246">
        <v>39</v>
      </c>
      <c r="F246">
        <v>44</v>
      </c>
      <c r="G246">
        <v>45</v>
      </c>
      <c r="H246">
        <v>42</v>
      </c>
    </row>
    <row r="247" spans="1:8" x14ac:dyDescent="0.2">
      <c r="A247" s="1">
        <v>44550</v>
      </c>
      <c r="B247">
        <v>4</v>
      </c>
      <c r="C247">
        <v>5</v>
      </c>
      <c r="D247">
        <v>16</v>
      </c>
      <c r="E247">
        <v>18</v>
      </c>
      <c r="F247">
        <v>24</v>
      </c>
      <c r="G247">
        <v>34</v>
      </c>
      <c r="H247">
        <v>27</v>
      </c>
    </row>
    <row r="248" spans="1:8" x14ac:dyDescent="0.2">
      <c r="A248" s="1">
        <v>44546</v>
      </c>
      <c r="B248">
        <v>6</v>
      </c>
      <c r="C248">
        <v>26</v>
      </c>
      <c r="D248">
        <v>27</v>
      </c>
      <c r="E248">
        <v>37</v>
      </c>
      <c r="F248">
        <v>40</v>
      </c>
      <c r="G248">
        <v>43</v>
      </c>
      <c r="H248">
        <v>49</v>
      </c>
    </row>
    <row r="249" spans="1:8" x14ac:dyDescent="0.2">
      <c r="A249" s="1">
        <v>44543</v>
      </c>
      <c r="B249">
        <v>5</v>
      </c>
      <c r="C249">
        <v>18</v>
      </c>
      <c r="D249">
        <v>19</v>
      </c>
      <c r="E249">
        <v>23</v>
      </c>
      <c r="F249">
        <v>40</v>
      </c>
      <c r="G249">
        <v>49</v>
      </c>
      <c r="H249">
        <v>20</v>
      </c>
    </row>
    <row r="250" spans="1:8" x14ac:dyDescent="0.2">
      <c r="A250" s="1">
        <v>44539</v>
      </c>
      <c r="B250">
        <v>1</v>
      </c>
      <c r="C250">
        <v>17</v>
      </c>
      <c r="D250">
        <v>30</v>
      </c>
      <c r="E250">
        <v>31</v>
      </c>
      <c r="F250">
        <v>42</v>
      </c>
      <c r="G250">
        <v>43</v>
      </c>
      <c r="H250">
        <v>46</v>
      </c>
    </row>
    <row r="251" spans="1:8" x14ac:dyDescent="0.2">
      <c r="A251" s="1">
        <v>44536</v>
      </c>
      <c r="B251">
        <v>7</v>
      </c>
      <c r="C251">
        <v>16</v>
      </c>
      <c r="D251">
        <v>33</v>
      </c>
      <c r="E251">
        <v>37</v>
      </c>
      <c r="F251">
        <v>42</v>
      </c>
      <c r="G251">
        <v>43</v>
      </c>
      <c r="H251">
        <v>48</v>
      </c>
    </row>
    <row r="252" spans="1:8" x14ac:dyDescent="0.2">
      <c r="A252" s="1">
        <v>44532</v>
      </c>
      <c r="B252">
        <v>6</v>
      </c>
      <c r="C252">
        <v>12</v>
      </c>
      <c r="D252">
        <v>22</v>
      </c>
      <c r="E252">
        <v>23</v>
      </c>
      <c r="F252">
        <v>40</v>
      </c>
      <c r="G252">
        <v>49</v>
      </c>
      <c r="H252">
        <v>25</v>
      </c>
    </row>
    <row r="253" spans="1:8" x14ac:dyDescent="0.2">
      <c r="A253" s="1">
        <v>44529</v>
      </c>
      <c r="B253">
        <v>1</v>
      </c>
      <c r="C253">
        <v>7</v>
      </c>
      <c r="D253">
        <v>12</v>
      </c>
      <c r="E253">
        <v>26</v>
      </c>
      <c r="F253">
        <v>28</v>
      </c>
      <c r="G253">
        <v>32</v>
      </c>
      <c r="H253">
        <v>21</v>
      </c>
    </row>
    <row r="254" spans="1:8" x14ac:dyDescent="0.2">
      <c r="A254" s="1">
        <v>44525</v>
      </c>
      <c r="B254">
        <v>6</v>
      </c>
      <c r="C254">
        <v>20</v>
      </c>
      <c r="D254">
        <v>27</v>
      </c>
      <c r="E254">
        <v>32</v>
      </c>
      <c r="F254">
        <v>40</v>
      </c>
      <c r="G254">
        <v>44</v>
      </c>
      <c r="H254">
        <v>4</v>
      </c>
    </row>
    <row r="255" spans="1:8" x14ac:dyDescent="0.2">
      <c r="A255" s="1">
        <v>44522</v>
      </c>
      <c r="B255">
        <v>1</v>
      </c>
      <c r="C255">
        <v>3</v>
      </c>
      <c r="D255">
        <v>16</v>
      </c>
      <c r="E255">
        <v>20</v>
      </c>
      <c r="F255">
        <v>35</v>
      </c>
      <c r="G255">
        <v>41</v>
      </c>
      <c r="H255">
        <v>5</v>
      </c>
    </row>
    <row r="256" spans="1:8" x14ac:dyDescent="0.2">
      <c r="A256" s="1">
        <v>44518</v>
      </c>
      <c r="B256">
        <v>1</v>
      </c>
      <c r="C256">
        <v>10</v>
      </c>
      <c r="D256">
        <v>39</v>
      </c>
      <c r="E256">
        <v>43</v>
      </c>
      <c r="F256">
        <v>45</v>
      </c>
      <c r="G256">
        <v>48</v>
      </c>
      <c r="H256">
        <v>14</v>
      </c>
    </row>
    <row r="257" spans="1:8" x14ac:dyDescent="0.2">
      <c r="A257" s="1">
        <v>44515</v>
      </c>
      <c r="B257">
        <v>23</v>
      </c>
      <c r="C257">
        <v>27</v>
      </c>
      <c r="D257">
        <v>31</v>
      </c>
      <c r="E257">
        <v>34</v>
      </c>
      <c r="F257">
        <v>43</v>
      </c>
      <c r="G257">
        <v>48</v>
      </c>
      <c r="H257">
        <v>1</v>
      </c>
    </row>
    <row r="258" spans="1:8" x14ac:dyDescent="0.2">
      <c r="A258" s="1">
        <v>44511</v>
      </c>
      <c r="B258">
        <v>5</v>
      </c>
      <c r="C258">
        <v>7</v>
      </c>
      <c r="D258">
        <v>12</v>
      </c>
      <c r="E258">
        <v>35</v>
      </c>
      <c r="F258">
        <v>48</v>
      </c>
      <c r="G258">
        <v>49</v>
      </c>
      <c r="H258">
        <v>2</v>
      </c>
    </row>
    <row r="259" spans="1:8" x14ac:dyDescent="0.2">
      <c r="A259" s="1">
        <v>44508</v>
      </c>
      <c r="B259">
        <v>7</v>
      </c>
      <c r="C259">
        <v>8</v>
      </c>
      <c r="D259">
        <v>20</v>
      </c>
      <c r="E259">
        <v>31</v>
      </c>
      <c r="F259">
        <v>35</v>
      </c>
      <c r="G259">
        <v>41</v>
      </c>
      <c r="H259">
        <v>3</v>
      </c>
    </row>
    <row r="260" spans="1:8" x14ac:dyDescent="0.2">
      <c r="A260" s="1">
        <v>44504</v>
      </c>
      <c r="B260">
        <v>7</v>
      </c>
      <c r="C260">
        <v>18</v>
      </c>
      <c r="D260">
        <v>22</v>
      </c>
      <c r="E260">
        <v>36</v>
      </c>
      <c r="F260">
        <v>44</v>
      </c>
      <c r="G260">
        <v>45</v>
      </c>
      <c r="H260">
        <v>30</v>
      </c>
    </row>
    <row r="261" spans="1:8" x14ac:dyDescent="0.2">
      <c r="A261" s="1">
        <v>44501</v>
      </c>
      <c r="B261">
        <v>7</v>
      </c>
      <c r="C261">
        <v>15</v>
      </c>
      <c r="D261">
        <v>22</v>
      </c>
      <c r="E261">
        <v>24</v>
      </c>
      <c r="F261">
        <v>26</v>
      </c>
      <c r="G261">
        <v>37</v>
      </c>
      <c r="H261">
        <v>9</v>
      </c>
    </row>
    <row r="262" spans="1:8" x14ac:dyDescent="0.2">
      <c r="A262" s="1">
        <v>44497</v>
      </c>
      <c r="B262">
        <v>3</v>
      </c>
      <c r="C262">
        <v>20</v>
      </c>
      <c r="D262">
        <v>27</v>
      </c>
      <c r="E262">
        <v>34</v>
      </c>
      <c r="F262">
        <v>35</v>
      </c>
      <c r="G262">
        <v>46</v>
      </c>
      <c r="H262">
        <v>37</v>
      </c>
    </row>
    <row r="263" spans="1:8" x14ac:dyDescent="0.2">
      <c r="A263" s="1">
        <v>44494</v>
      </c>
      <c r="B263">
        <v>4</v>
      </c>
      <c r="C263">
        <v>18</v>
      </c>
      <c r="D263">
        <v>24</v>
      </c>
      <c r="E263">
        <v>40</v>
      </c>
      <c r="F263">
        <v>43</v>
      </c>
      <c r="G263">
        <v>47</v>
      </c>
      <c r="H263">
        <v>48</v>
      </c>
    </row>
    <row r="264" spans="1:8" x14ac:dyDescent="0.2">
      <c r="A264" s="1">
        <v>44490</v>
      </c>
      <c r="B264">
        <v>7</v>
      </c>
      <c r="C264">
        <v>22</v>
      </c>
      <c r="D264">
        <v>23</v>
      </c>
      <c r="E264">
        <v>25</v>
      </c>
      <c r="F264">
        <v>42</v>
      </c>
      <c r="G264">
        <v>43</v>
      </c>
      <c r="H264">
        <v>18</v>
      </c>
    </row>
    <row r="265" spans="1:8" x14ac:dyDescent="0.2">
      <c r="A265" s="1">
        <v>44487</v>
      </c>
      <c r="B265">
        <v>5</v>
      </c>
      <c r="C265">
        <v>23</v>
      </c>
      <c r="D265">
        <v>24</v>
      </c>
      <c r="E265">
        <v>27</v>
      </c>
      <c r="F265">
        <v>44</v>
      </c>
      <c r="G265">
        <v>49</v>
      </c>
      <c r="H265">
        <v>26</v>
      </c>
    </row>
    <row r="266" spans="1:8" x14ac:dyDescent="0.2">
      <c r="A266" s="1">
        <v>44483</v>
      </c>
      <c r="B266">
        <v>10</v>
      </c>
      <c r="C266">
        <v>15</v>
      </c>
      <c r="D266">
        <v>16</v>
      </c>
      <c r="E266">
        <v>24</v>
      </c>
      <c r="F266">
        <v>45</v>
      </c>
      <c r="G266">
        <v>47</v>
      </c>
      <c r="H266">
        <v>19</v>
      </c>
    </row>
    <row r="267" spans="1:8" x14ac:dyDescent="0.2">
      <c r="A267" s="1">
        <v>44480</v>
      </c>
      <c r="B267">
        <v>10</v>
      </c>
      <c r="C267">
        <v>26</v>
      </c>
      <c r="D267">
        <v>27</v>
      </c>
      <c r="E267">
        <v>36</v>
      </c>
      <c r="F267">
        <v>37</v>
      </c>
      <c r="G267">
        <v>43</v>
      </c>
      <c r="H267">
        <v>42</v>
      </c>
    </row>
    <row r="268" spans="1:8" x14ac:dyDescent="0.2">
      <c r="A268" s="1">
        <v>44476</v>
      </c>
      <c r="B268">
        <v>1</v>
      </c>
      <c r="C268">
        <v>27</v>
      </c>
      <c r="D268">
        <v>28</v>
      </c>
      <c r="E268">
        <v>39</v>
      </c>
      <c r="F268">
        <v>40</v>
      </c>
      <c r="G268">
        <v>49</v>
      </c>
      <c r="H268">
        <v>33</v>
      </c>
    </row>
    <row r="269" spans="1:8" x14ac:dyDescent="0.2">
      <c r="A269" s="1">
        <v>44473</v>
      </c>
      <c r="B269">
        <v>10</v>
      </c>
      <c r="C269">
        <v>14</v>
      </c>
      <c r="D269">
        <v>28</v>
      </c>
      <c r="E269">
        <v>30</v>
      </c>
      <c r="F269">
        <v>35</v>
      </c>
      <c r="G269">
        <v>40</v>
      </c>
      <c r="H269">
        <v>6</v>
      </c>
    </row>
    <row r="270" spans="1:8" x14ac:dyDescent="0.2">
      <c r="A270" s="1">
        <v>44469</v>
      </c>
      <c r="B270">
        <v>5</v>
      </c>
      <c r="C270">
        <v>8</v>
      </c>
      <c r="D270">
        <v>14</v>
      </c>
      <c r="E270">
        <v>26</v>
      </c>
      <c r="F270">
        <v>30</v>
      </c>
      <c r="G270">
        <v>44</v>
      </c>
      <c r="H270">
        <v>47</v>
      </c>
    </row>
    <row r="271" spans="1:8" x14ac:dyDescent="0.2">
      <c r="A271" s="1">
        <v>44466</v>
      </c>
      <c r="B271">
        <v>20</v>
      </c>
      <c r="C271">
        <v>28</v>
      </c>
      <c r="D271">
        <v>33</v>
      </c>
      <c r="E271">
        <v>38</v>
      </c>
      <c r="F271">
        <v>40</v>
      </c>
      <c r="G271">
        <v>44</v>
      </c>
      <c r="H271">
        <v>49</v>
      </c>
    </row>
    <row r="272" spans="1:8" x14ac:dyDescent="0.2">
      <c r="A272" s="1">
        <v>44462</v>
      </c>
      <c r="B272">
        <v>9</v>
      </c>
      <c r="C272">
        <v>35</v>
      </c>
      <c r="D272">
        <v>41</v>
      </c>
      <c r="E272">
        <v>42</v>
      </c>
      <c r="F272">
        <v>43</v>
      </c>
      <c r="G272">
        <v>44</v>
      </c>
      <c r="H272">
        <v>29</v>
      </c>
    </row>
    <row r="273" spans="1:8" x14ac:dyDescent="0.2">
      <c r="A273" s="1">
        <v>44459</v>
      </c>
      <c r="B273">
        <v>3</v>
      </c>
      <c r="C273">
        <v>6</v>
      </c>
      <c r="D273">
        <v>10</v>
      </c>
      <c r="E273">
        <v>16</v>
      </c>
      <c r="F273">
        <v>33</v>
      </c>
      <c r="G273">
        <v>49</v>
      </c>
      <c r="H273">
        <v>1</v>
      </c>
    </row>
    <row r="274" spans="1:8" x14ac:dyDescent="0.2">
      <c r="A274" s="1">
        <v>44455</v>
      </c>
      <c r="B274">
        <v>9</v>
      </c>
      <c r="C274">
        <v>10</v>
      </c>
      <c r="D274">
        <v>15</v>
      </c>
      <c r="E274">
        <v>30</v>
      </c>
      <c r="F274">
        <v>38</v>
      </c>
      <c r="G274">
        <v>48</v>
      </c>
      <c r="H274">
        <v>2</v>
      </c>
    </row>
    <row r="275" spans="1:8" x14ac:dyDescent="0.2">
      <c r="A275" s="1">
        <v>44452</v>
      </c>
      <c r="B275">
        <v>6</v>
      </c>
      <c r="C275">
        <v>25</v>
      </c>
      <c r="D275">
        <v>26</v>
      </c>
      <c r="E275">
        <v>41</v>
      </c>
      <c r="F275">
        <v>42</v>
      </c>
      <c r="G275">
        <v>44</v>
      </c>
      <c r="H275">
        <v>37</v>
      </c>
    </row>
    <row r="276" spans="1:8" x14ac:dyDescent="0.2">
      <c r="A276" s="1">
        <v>44448</v>
      </c>
      <c r="B276">
        <v>5</v>
      </c>
      <c r="C276">
        <v>19</v>
      </c>
      <c r="D276">
        <v>30</v>
      </c>
      <c r="E276">
        <v>33</v>
      </c>
      <c r="F276">
        <v>37</v>
      </c>
      <c r="G276">
        <v>42</v>
      </c>
      <c r="H276">
        <v>38</v>
      </c>
    </row>
    <row r="277" spans="1:8" x14ac:dyDescent="0.2">
      <c r="A277" s="1">
        <v>44445</v>
      </c>
      <c r="B277">
        <v>1</v>
      </c>
      <c r="C277">
        <v>15</v>
      </c>
      <c r="D277">
        <v>31</v>
      </c>
      <c r="E277">
        <v>32</v>
      </c>
      <c r="F277">
        <v>33</v>
      </c>
      <c r="G277">
        <v>44</v>
      </c>
      <c r="H277">
        <v>20</v>
      </c>
    </row>
    <row r="278" spans="1:8" x14ac:dyDescent="0.2">
      <c r="A278" s="1">
        <v>44441</v>
      </c>
      <c r="B278">
        <v>3</v>
      </c>
      <c r="C278">
        <v>4</v>
      </c>
      <c r="D278">
        <v>6</v>
      </c>
      <c r="E278">
        <v>10</v>
      </c>
      <c r="F278">
        <v>19</v>
      </c>
      <c r="G278">
        <v>42</v>
      </c>
      <c r="H278">
        <v>34</v>
      </c>
    </row>
    <row r="279" spans="1:8" x14ac:dyDescent="0.2">
      <c r="A279" s="1">
        <v>44438</v>
      </c>
      <c r="B279">
        <v>19</v>
      </c>
      <c r="C279">
        <v>23</v>
      </c>
      <c r="D279">
        <v>24</v>
      </c>
      <c r="E279">
        <v>27</v>
      </c>
      <c r="F279">
        <v>36</v>
      </c>
      <c r="G279">
        <v>37</v>
      </c>
      <c r="H279">
        <v>17</v>
      </c>
    </row>
    <row r="280" spans="1:8" x14ac:dyDescent="0.2">
      <c r="A280" s="1">
        <v>44434</v>
      </c>
      <c r="B280">
        <v>5</v>
      </c>
      <c r="C280">
        <v>18</v>
      </c>
      <c r="D280">
        <v>24</v>
      </c>
      <c r="E280">
        <v>37</v>
      </c>
      <c r="F280">
        <v>38</v>
      </c>
      <c r="G280">
        <v>49</v>
      </c>
      <c r="H280">
        <v>35</v>
      </c>
    </row>
    <row r="281" spans="1:8" x14ac:dyDescent="0.2">
      <c r="A281" s="1">
        <v>44431</v>
      </c>
      <c r="B281">
        <v>5</v>
      </c>
      <c r="C281">
        <v>17</v>
      </c>
      <c r="D281">
        <v>26</v>
      </c>
      <c r="E281">
        <v>27</v>
      </c>
      <c r="F281">
        <v>31</v>
      </c>
      <c r="G281">
        <v>48</v>
      </c>
      <c r="H281">
        <v>4</v>
      </c>
    </row>
    <row r="282" spans="1:8" x14ac:dyDescent="0.2">
      <c r="A282" s="1">
        <v>44427</v>
      </c>
      <c r="B282">
        <v>1</v>
      </c>
      <c r="C282">
        <v>3</v>
      </c>
      <c r="D282">
        <v>9</v>
      </c>
      <c r="E282">
        <v>39</v>
      </c>
      <c r="F282">
        <v>40</v>
      </c>
      <c r="G282">
        <v>47</v>
      </c>
      <c r="H282">
        <v>29</v>
      </c>
    </row>
    <row r="283" spans="1:8" x14ac:dyDescent="0.2">
      <c r="A283" s="1">
        <v>44424</v>
      </c>
      <c r="B283">
        <v>10</v>
      </c>
      <c r="C283">
        <v>21</v>
      </c>
      <c r="D283">
        <v>28</v>
      </c>
      <c r="E283">
        <v>31</v>
      </c>
      <c r="F283">
        <v>37</v>
      </c>
      <c r="G283">
        <v>38</v>
      </c>
      <c r="H283">
        <v>6</v>
      </c>
    </row>
    <row r="284" spans="1:8" x14ac:dyDescent="0.2">
      <c r="A284" s="1">
        <v>44420</v>
      </c>
      <c r="B284">
        <v>2</v>
      </c>
      <c r="C284">
        <v>20</v>
      </c>
      <c r="D284">
        <v>25</v>
      </c>
      <c r="E284">
        <v>29</v>
      </c>
      <c r="F284">
        <v>32</v>
      </c>
      <c r="G284">
        <v>49</v>
      </c>
      <c r="H284">
        <v>36</v>
      </c>
    </row>
    <row r="285" spans="1:8" x14ac:dyDescent="0.2">
      <c r="A285" s="1">
        <v>44417</v>
      </c>
      <c r="B285">
        <v>15</v>
      </c>
      <c r="C285">
        <v>24</v>
      </c>
      <c r="D285">
        <v>33</v>
      </c>
      <c r="E285">
        <v>34</v>
      </c>
      <c r="F285">
        <v>36</v>
      </c>
      <c r="G285">
        <v>40</v>
      </c>
      <c r="H285">
        <v>18</v>
      </c>
    </row>
    <row r="286" spans="1:8" x14ac:dyDescent="0.2">
      <c r="A286" s="1">
        <v>44413</v>
      </c>
      <c r="B286">
        <v>3</v>
      </c>
      <c r="C286">
        <v>17</v>
      </c>
      <c r="D286">
        <v>19</v>
      </c>
      <c r="E286">
        <v>23</v>
      </c>
      <c r="F286">
        <v>32</v>
      </c>
      <c r="G286">
        <v>38</v>
      </c>
      <c r="H286">
        <v>7</v>
      </c>
    </row>
    <row r="287" spans="1:8" x14ac:dyDescent="0.2">
      <c r="A287" s="1">
        <v>44410</v>
      </c>
      <c r="B287">
        <v>12</v>
      </c>
      <c r="C287">
        <v>16</v>
      </c>
      <c r="D287">
        <v>23</v>
      </c>
      <c r="E287">
        <v>26</v>
      </c>
      <c r="F287">
        <v>33</v>
      </c>
      <c r="G287">
        <v>44</v>
      </c>
      <c r="H287">
        <v>10</v>
      </c>
    </row>
    <row r="288" spans="1:8" x14ac:dyDescent="0.2">
      <c r="A288" s="1">
        <v>44406</v>
      </c>
      <c r="B288">
        <v>1</v>
      </c>
      <c r="C288">
        <v>7</v>
      </c>
      <c r="D288">
        <v>22</v>
      </c>
      <c r="E288">
        <v>33</v>
      </c>
      <c r="F288">
        <v>40</v>
      </c>
      <c r="G288">
        <v>48</v>
      </c>
      <c r="H288">
        <v>10</v>
      </c>
    </row>
    <row r="289" spans="1:8" x14ac:dyDescent="0.2">
      <c r="A289" s="1">
        <v>44403</v>
      </c>
      <c r="B289">
        <v>3</v>
      </c>
      <c r="C289">
        <v>8</v>
      </c>
      <c r="D289">
        <v>30</v>
      </c>
      <c r="E289">
        <v>34</v>
      </c>
      <c r="F289">
        <v>39</v>
      </c>
      <c r="G289">
        <v>46</v>
      </c>
      <c r="H289">
        <v>44</v>
      </c>
    </row>
    <row r="290" spans="1:8" x14ac:dyDescent="0.2">
      <c r="A290" s="1">
        <v>44399</v>
      </c>
      <c r="B290">
        <v>1</v>
      </c>
      <c r="C290">
        <v>21</v>
      </c>
      <c r="D290">
        <v>26</v>
      </c>
      <c r="E290">
        <v>38</v>
      </c>
      <c r="F290">
        <v>44</v>
      </c>
      <c r="G290">
        <v>45</v>
      </c>
      <c r="H290">
        <v>17</v>
      </c>
    </row>
    <row r="291" spans="1:8" x14ac:dyDescent="0.2">
      <c r="A291" s="1">
        <v>44396</v>
      </c>
      <c r="B291">
        <v>4</v>
      </c>
      <c r="C291">
        <v>10</v>
      </c>
      <c r="D291">
        <v>21</v>
      </c>
      <c r="E291">
        <v>33</v>
      </c>
      <c r="F291">
        <v>42</v>
      </c>
      <c r="G291">
        <v>44</v>
      </c>
      <c r="H291">
        <v>19</v>
      </c>
    </row>
    <row r="292" spans="1:8" x14ac:dyDescent="0.2">
      <c r="A292" s="1">
        <v>44392</v>
      </c>
      <c r="B292">
        <v>3</v>
      </c>
      <c r="C292">
        <v>5</v>
      </c>
      <c r="D292">
        <v>9</v>
      </c>
      <c r="E292">
        <v>14</v>
      </c>
      <c r="F292">
        <v>23</v>
      </c>
      <c r="G292">
        <v>26</v>
      </c>
      <c r="H292">
        <v>20</v>
      </c>
    </row>
    <row r="293" spans="1:8" x14ac:dyDescent="0.2">
      <c r="A293" s="1">
        <v>44389</v>
      </c>
      <c r="B293">
        <v>18</v>
      </c>
      <c r="C293">
        <v>19</v>
      </c>
      <c r="D293">
        <v>23</v>
      </c>
      <c r="E293">
        <v>24</v>
      </c>
      <c r="F293">
        <v>38</v>
      </c>
      <c r="G293">
        <v>45</v>
      </c>
      <c r="H293">
        <v>27</v>
      </c>
    </row>
    <row r="294" spans="1:8" x14ac:dyDescent="0.2">
      <c r="A294" s="1">
        <v>44385</v>
      </c>
      <c r="B294">
        <v>7</v>
      </c>
      <c r="C294">
        <v>9</v>
      </c>
      <c r="D294">
        <v>15</v>
      </c>
      <c r="E294">
        <v>20</v>
      </c>
      <c r="F294">
        <v>23</v>
      </c>
      <c r="G294">
        <v>40</v>
      </c>
      <c r="H294">
        <v>2</v>
      </c>
    </row>
    <row r="295" spans="1:8" x14ac:dyDescent="0.2">
      <c r="A295" s="1">
        <v>44382</v>
      </c>
      <c r="B295">
        <v>8</v>
      </c>
      <c r="C295">
        <v>14</v>
      </c>
      <c r="D295">
        <v>20</v>
      </c>
      <c r="E295">
        <v>28</v>
      </c>
      <c r="F295">
        <v>29</v>
      </c>
      <c r="G295">
        <v>36</v>
      </c>
      <c r="H295">
        <v>18</v>
      </c>
    </row>
    <row r="296" spans="1:8" x14ac:dyDescent="0.2">
      <c r="A296" s="1">
        <v>44378</v>
      </c>
      <c r="B296">
        <v>4</v>
      </c>
      <c r="C296">
        <v>5</v>
      </c>
      <c r="D296">
        <v>9</v>
      </c>
      <c r="E296">
        <v>17</v>
      </c>
      <c r="F296">
        <v>31</v>
      </c>
      <c r="G296">
        <v>34</v>
      </c>
      <c r="H296">
        <v>8</v>
      </c>
    </row>
    <row r="297" spans="1:8" x14ac:dyDescent="0.2">
      <c r="A297" s="1">
        <v>44375</v>
      </c>
      <c r="B297">
        <v>14</v>
      </c>
      <c r="C297">
        <v>31</v>
      </c>
      <c r="D297">
        <v>32</v>
      </c>
      <c r="E297">
        <v>33</v>
      </c>
      <c r="F297">
        <v>38</v>
      </c>
      <c r="G297">
        <v>47</v>
      </c>
      <c r="H297">
        <v>45</v>
      </c>
    </row>
    <row r="298" spans="1:8" x14ac:dyDescent="0.2">
      <c r="A298" s="1">
        <v>44371</v>
      </c>
      <c r="B298">
        <v>1</v>
      </c>
      <c r="C298">
        <v>12</v>
      </c>
      <c r="D298">
        <v>17</v>
      </c>
      <c r="E298">
        <v>21</v>
      </c>
      <c r="F298">
        <v>24</v>
      </c>
      <c r="G298">
        <v>44</v>
      </c>
      <c r="H298">
        <v>23</v>
      </c>
    </row>
    <row r="299" spans="1:8" x14ac:dyDescent="0.2">
      <c r="A299" s="1">
        <v>44368</v>
      </c>
      <c r="B299">
        <v>7</v>
      </c>
      <c r="C299">
        <v>8</v>
      </c>
      <c r="D299">
        <v>10</v>
      </c>
      <c r="E299">
        <v>14</v>
      </c>
      <c r="F299">
        <v>17</v>
      </c>
      <c r="G299">
        <v>28</v>
      </c>
      <c r="H299">
        <v>45</v>
      </c>
    </row>
    <row r="300" spans="1:8" x14ac:dyDescent="0.2">
      <c r="A300" s="1">
        <v>44364</v>
      </c>
      <c r="B300">
        <v>5</v>
      </c>
      <c r="C300">
        <v>12</v>
      </c>
      <c r="D300">
        <v>15</v>
      </c>
      <c r="E300">
        <v>30</v>
      </c>
      <c r="F300">
        <v>38</v>
      </c>
      <c r="G300">
        <v>43</v>
      </c>
      <c r="H300">
        <v>33</v>
      </c>
    </row>
    <row r="301" spans="1:8" x14ac:dyDescent="0.2">
      <c r="A301" s="1">
        <v>44361</v>
      </c>
      <c r="B301">
        <v>5</v>
      </c>
      <c r="C301">
        <v>16</v>
      </c>
      <c r="D301">
        <v>23</v>
      </c>
      <c r="E301">
        <v>24</v>
      </c>
      <c r="F301">
        <v>28</v>
      </c>
      <c r="G301">
        <v>45</v>
      </c>
      <c r="H301">
        <v>40</v>
      </c>
    </row>
    <row r="302" spans="1:8" x14ac:dyDescent="0.2">
      <c r="A302" s="1">
        <v>44357</v>
      </c>
      <c r="B302">
        <v>1</v>
      </c>
      <c r="C302">
        <v>9</v>
      </c>
      <c r="D302">
        <v>15</v>
      </c>
      <c r="E302">
        <v>22</v>
      </c>
      <c r="F302">
        <v>24</v>
      </c>
      <c r="G302">
        <v>42</v>
      </c>
      <c r="H302">
        <v>10</v>
      </c>
    </row>
    <row r="303" spans="1:8" x14ac:dyDescent="0.2">
      <c r="A303" s="1">
        <v>44354</v>
      </c>
      <c r="B303">
        <v>7</v>
      </c>
      <c r="C303">
        <v>14</v>
      </c>
      <c r="D303">
        <v>23</v>
      </c>
      <c r="E303">
        <v>31</v>
      </c>
      <c r="F303">
        <v>39</v>
      </c>
      <c r="G303">
        <v>41</v>
      </c>
      <c r="H303">
        <v>33</v>
      </c>
    </row>
    <row r="304" spans="1:8" x14ac:dyDescent="0.2">
      <c r="A304" s="1">
        <v>44350</v>
      </c>
      <c r="B304">
        <v>1</v>
      </c>
      <c r="C304">
        <v>7</v>
      </c>
      <c r="D304">
        <v>21</v>
      </c>
      <c r="E304">
        <v>26</v>
      </c>
      <c r="F304">
        <v>30</v>
      </c>
      <c r="G304">
        <v>39</v>
      </c>
      <c r="H304">
        <v>40</v>
      </c>
    </row>
    <row r="305" spans="1:8" x14ac:dyDescent="0.2">
      <c r="A305" s="1">
        <v>44347</v>
      </c>
      <c r="B305">
        <v>14</v>
      </c>
      <c r="C305">
        <v>15</v>
      </c>
      <c r="D305">
        <v>18</v>
      </c>
      <c r="E305">
        <v>19</v>
      </c>
      <c r="F305">
        <v>30</v>
      </c>
      <c r="G305">
        <v>44</v>
      </c>
      <c r="H305">
        <v>6</v>
      </c>
    </row>
    <row r="306" spans="1:8" x14ac:dyDescent="0.2">
      <c r="A306" s="1">
        <v>44343</v>
      </c>
      <c r="B306">
        <v>3</v>
      </c>
      <c r="C306">
        <v>7</v>
      </c>
      <c r="D306">
        <v>9</v>
      </c>
      <c r="E306">
        <v>24</v>
      </c>
      <c r="F306">
        <v>36</v>
      </c>
      <c r="G306">
        <v>38</v>
      </c>
      <c r="H306">
        <v>43</v>
      </c>
    </row>
    <row r="307" spans="1:8" x14ac:dyDescent="0.2">
      <c r="A307" s="1">
        <v>44340</v>
      </c>
      <c r="B307">
        <v>11</v>
      </c>
      <c r="C307">
        <v>18</v>
      </c>
      <c r="D307">
        <v>23</v>
      </c>
      <c r="E307">
        <v>31</v>
      </c>
      <c r="F307">
        <v>32</v>
      </c>
      <c r="G307">
        <v>33</v>
      </c>
      <c r="H307">
        <v>49</v>
      </c>
    </row>
    <row r="308" spans="1:8" x14ac:dyDescent="0.2">
      <c r="A308" s="1">
        <v>44336</v>
      </c>
      <c r="B308">
        <v>7</v>
      </c>
      <c r="C308">
        <v>12</v>
      </c>
      <c r="D308">
        <v>18</v>
      </c>
      <c r="E308">
        <v>29</v>
      </c>
      <c r="F308">
        <v>32</v>
      </c>
      <c r="G308">
        <v>37</v>
      </c>
      <c r="H308">
        <v>44</v>
      </c>
    </row>
    <row r="309" spans="1:8" x14ac:dyDescent="0.2">
      <c r="A309" s="1">
        <v>44333</v>
      </c>
      <c r="B309">
        <v>5</v>
      </c>
      <c r="C309">
        <v>6</v>
      </c>
      <c r="D309">
        <v>11</v>
      </c>
      <c r="E309">
        <v>36</v>
      </c>
      <c r="F309">
        <v>41</v>
      </c>
      <c r="G309">
        <v>46</v>
      </c>
      <c r="H309">
        <v>8</v>
      </c>
    </row>
    <row r="310" spans="1:8" x14ac:dyDescent="0.2">
      <c r="A310" s="1">
        <v>44329</v>
      </c>
      <c r="B310">
        <v>2</v>
      </c>
      <c r="C310">
        <v>4</v>
      </c>
      <c r="D310">
        <v>5</v>
      </c>
      <c r="E310">
        <v>16</v>
      </c>
      <c r="F310">
        <v>39</v>
      </c>
      <c r="G310">
        <v>47</v>
      </c>
      <c r="H310">
        <v>24</v>
      </c>
    </row>
    <row r="311" spans="1:8" x14ac:dyDescent="0.2">
      <c r="A311" s="1">
        <v>44326</v>
      </c>
      <c r="B311">
        <v>6</v>
      </c>
      <c r="C311">
        <v>18</v>
      </c>
      <c r="D311">
        <v>32</v>
      </c>
      <c r="E311">
        <v>33</v>
      </c>
      <c r="F311">
        <v>34</v>
      </c>
      <c r="G311">
        <v>45</v>
      </c>
      <c r="H311">
        <v>8</v>
      </c>
    </row>
    <row r="312" spans="1:8" x14ac:dyDescent="0.2">
      <c r="A312" s="1">
        <v>44322</v>
      </c>
      <c r="B312">
        <v>4</v>
      </c>
      <c r="C312">
        <v>6</v>
      </c>
      <c r="D312">
        <v>12</v>
      </c>
      <c r="E312">
        <v>20</v>
      </c>
      <c r="F312">
        <v>31</v>
      </c>
      <c r="G312">
        <v>35</v>
      </c>
      <c r="H312">
        <v>47</v>
      </c>
    </row>
    <row r="313" spans="1:8" x14ac:dyDescent="0.2">
      <c r="A313" s="1">
        <v>44319</v>
      </c>
      <c r="B313">
        <v>15</v>
      </c>
      <c r="C313">
        <v>17</v>
      </c>
      <c r="D313">
        <v>18</v>
      </c>
      <c r="E313">
        <v>35</v>
      </c>
      <c r="F313">
        <v>41</v>
      </c>
      <c r="G313">
        <v>42</v>
      </c>
      <c r="H313">
        <v>3</v>
      </c>
    </row>
    <row r="314" spans="1:8" x14ac:dyDescent="0.2">
      <c r="A314" s="1">
        <v>44315</v>
      </c>
      <c r="B314">
        <v>2</v>
      </c>
      <c r="C314">
        <v>19</v>
      </c>
      <c r="D314">
        <v>22</v>
      </c>
      <c r="E314">
        <v>29</v>
      </c>
      <c r="F314">
        <v>36</v>
      </c>
      <c r="G314">
        <v>43</v>
      </c>
      <c r="H314">
        <v>5</v>
      </c>
    </row>
    <row r="315" spans="1:8" x14ac:dyDescent="0.2">
      <c r="A315" s="1">
        <v>44312</v>
      </c>
      <c r="B315">
        <v>2</v>
      </c>
      <c r="C315">
        <v>15</v>
      </c>
      <c r="D315">
        <v>18</v>
      </c>
      <c r="E315">
        <v>36</v>
      </c>
      <c r="F315">
        <v>42</v>
      </c>
      <c r="G315">
        <v>49</v>
      </c>
      <c r="H315">
        <v>26</v>
      </c>
    </row>
    <row r="316" spans="1:8" x14ac:dyDescent="0.2">
      <c r="A316" s="1">
        <v>44308</v>
      </c>
      <c r="B316">
        <v>3</v>
      </c>
      <c r="C316">
        <v>17</v>
      </c>
      <c r="D316">
        <v>22</v>
      </c>
      <c r="E316">
        <v>32</v>
      </c>
      <c r="F316">
        <v>38</v>
      </c>
      <c r="G316">
        <v>48</v>
      </c>
      <c r="H316">
        <v>41</v>
      </c>
    </row>
    <row r="317" spans="1:8" x14ac:dyDescent="0.2">
      <c r="A317" s="1">
        <v>44305</v>
      </c>
      <c r="B317">
        <v>8</v>
      </c>
      <c r="C317">
        <v>10</v>
      </c>
      <c r="D317">
        <v>16</v>
      </c>
      <c r="E317">
        <v>17</v>
      </c>
      <c r="F317">
        <v>20</v>
      </c>
      <c r="G317">
        <v>43</v>
      </c>
      <c r="H317">
        <v>32</v>
      </c>
    </row>
    <row r="318" spans="1:8" x14ac:dyDescent="0.2">
      <c r="A318" s="1">
        <v>44301</v>
      </c>
      <c r="B318">
        <v>10</v>
      </c>
      <c r="C318">
        <v>14</v>
      </c>
      <c r="D318">
        <v>23</v>
      </c>
      <c r="E318">
        <v>25</v>
      </c>
      <c r="F318">
        <v>35</v>
      </c>
      <c r="G318">
        <v>46</v>
      </c>
      <c r="H318">
        <v>39</v>
      </c>
    </row>
    <row r="319" spans="1:8" x14ac:dyDescent="0.2">
      <c r="A319" s="1">
        <v>44298</v>
      </c>
      <c r="B319">
        <v>4</v>
      </c>
      <c r="C319">
        <v>23</v>
      </c>
      <c r="D319">
        <v>27</v>
      </c>
      <c r="E319">
        <v>43</v>
      </c>
      <c r="F319">
        <v>48</v>
      </c>
      <c r="G319">
        <v>49</v>
      </c>
      <c r="H319">
        <v>47</v>
      </c>
    </row>
    <row r="320" spans="1:8" x14ac:dyDescent="0.2">
      <c r="A320" s="1">
        <v>44294</v>
      </c>
      <c r="B320">
        <v>7</v>
      </c>
      <c r="C320">
        <v>8</v>
      </c>
      <c r="D320">
        <v>9</v>
      </c>
      <c r="E320">
        <v>14</v>
      </c>
      <c r="F320">
        <v>28</v>
      </c>
      <c r="G320">
        <v>35</v>
      </c>
      <c r="H320">
        <v>4</v>
      </c>
    </row>
    <row r="321" spans="1:8" x14ac:dyDescent="0.2">
      <c r="A321" s="1">
        <v>44291</v>
      </c>
      <c r="B321">
        <v>9</v>
      </c>
      <c r="C321">
        <v>11</v>
      </c>
      <c r="D321">
        <v>15</v>
      </c>
      <c r="E321">
        <v>17</v>
      </c>
      <c r="F321">
        <v>25</v>
      </c>
      <c r="G321">
        <v>40</v>
      </c>
      <c r="H321">
        <v>5</v>
      </c>
    </row>
    <row r="322" spans="1:8" x14ac:dyDescent="0.2">
      <c r="A322" s="1">
        <v>44287</v>
      </c>
      <c r="B322">
        <v>10</v>
      </c>
      <c r="C322">
        <v>11</v>
      </c>
      <c r="D322">
        <v>15</v>
      </c>
      <c r="E322">
        <v>21</v>
      </c>
      <c r="F322">
        <v>29</v>
      </c>
      <c r="G322">
        <v>44</v>
      </c>
      <c r="H322">
        <v>26</v>
      </c>
    </row>
    <row r="323" spans="1:8" x14ac:dyDescent="0.2">
      <c r="A323" s="1">
        <v>44284</v>
      </c>
      <c r="B323">
        <v>14</v>
      </c>
      <c r="C323">
        <v>15</v>
      </c>
      <c r="D323">
        <v>20</v>
      </c>
      <c r="E323">
        <v>23</v>
      </c>
      <c r="F323">
        <v>30</v>
      </c>
      <c r="G323">
        <v>35</v>
      </c>
      <c r="H323">
        <v>39</v>
      </c>
    </row>
    <row r="324" spans="1:8" x14ac:dyDescent="0.2">
      <c r="A324" s="1">
        <v>44280</v>
      </c>
      <c r="B324">
        <v>4</v>
      </c>
      <c r="C324">
        <v>16</v>
      </c>
      <c r="D324">
        <v>17</v>
      </c>
      <c r="E324">
        <v>20</v>
      </c>
      <c r="F324">
        <v>22</v>
      </c>
      <c r="G324">
        <v>44</v>
      </c>
      <c r="H324">
        <v>38</v>
      </c>
    </row>
    <row r="325" spans="1:8" x14ac:dyDescent="0.2">
      <c r="A325" s="1">
        <v>44277</v>
      </c>
      <c r="B325">
        <v>2</v>
      </c>
      <c r="C325">
        <v>12</v>
      </c>
      <c r="D325">
        <v>20</v>
      </c>
      <c r="E325">
        <v>35</v>
      </c>
      <c r="F325">
        <v>37</v>
      </c>
      <c r="G325">
        <v>44</v>
      </c>
      <c r="H325">
        <v>17</v>
      </c>
    </row>
    <row r="326" spans="1:8" x14ac:dyDescent="0.2">
      <c r="A326" s="1">
        <v>44273</v>
      </c>
      <c r="B326">
        <v>2</v>
      </c>
      <c r="C326">
        <v>5</v>
      </c>
      <c r="D326">
        <v>12</v>
      </c>
      <c r="E326">
        <v>24</v>
      </c>
      <c r="F326">
        <v>25</v>
      </c>
      <c r="G326">
        <v>29</v>
      </c>
      <c r="H326">
        <v>3</v>
      </c>
    </row>
    <row r="327" spans="1:8" x14ac:dyDescent="0.2">
      <c r="A327" s="1">
        <v>44270</v>
      </c>
      <c r="B327">
        <v>12</v>
      </c>
      <c r="C327">
        <v>15</v>
      </c>
      <c r="D327">
        <v>19</v>
      </c>
      <c r="E327">
        <v>28</v>
      </c>
      <c r="F327">
        <v>35</v>
      </c>
      <c r="G327">
        <v>43</v>
      </c>
      <c r="H327">
        <v>44</v>
      </c>
    </row>
    <row r="328" spans="1:8" x14ac:dyDescent="0.2">
      <c r="A328" s="1">
        <v>44266</v>
      </c>
      <c r="B328">
        <v>12</v>
      </c>
      <c r="C328">
        <v>19</v>
      </c>
      <c r="D328">
        <v>26</v>
      </c>
      <c r="E328">
        <v>41</v>
      </c>
      <c r="F328">
        <v>46</v>
      </c>
      <c r="G328">
        <v>47</v>
      </c>
      <c r="H328">
        <v>35</v>
      </c>
    </row>
    <row r="329" spans="1:8" x14ac:dyDescent="0.2">
      <c r="A329" s="1">
        <v>44263</v>
      </c>
      <c r="B329">
        <v>8</v>
      </c>
      <c r="C329">
        <v>13</v>
      </c>
      <c r="D329">
        <v>17</v>
      </c>
      <c r="E329">
        <v>27</v>
      </c>
      <c r="F329">
        <v>33</v>
      </c>
      <c r="G329">
        <v>40</v>
      </c>
      <c r="H329">
        <v>38</v>
      </c>
    </row>
    <row r="330" spans="1:8" x14ac:dyDescent="0.2">
      <c r="A330" s="1">
        <v>44259</v>
      </c>
      <c r="B330">
        <v>11</v>
      </c>
      <c r="C330">
        <v>12</v>
      </c>
      <c r="D330">
        <v>20</v>
      </c>
      <c r="E330">
        <v>28</v>
      </c>
      <c r="F330">
        <v>30</v>
      </c>
      <c r="G330">
        <v>38</v>
      </c>
      <c r="H330">
        <v>27</v>
      </c>
    </row>
    <row r="331" spans="1:8" x14ac:dyDescent="0.2">
      <c r="A331" s="1">
        <v>44256</v>
      </c>
      <c r="B331">
        <v>5</v>
      </c>
      <c r="C331">
        <v>6</v>
      </c>
      <c r="D331">
        <v>7</v>
      </c>
      <c r="E331">
        <v>13</v>
      </c>
      <c r="F331">
        <v>25</v>
      </c>
      <c r="G331">
        <v>37</v>
      </c>
      <c r="H331">
        <v>30</v>
      </c>
    </row>
    <row r="332" spans="1:8" x14ac:dyDescent="0.2">
      <c r="A332" s="1">
        <v>44253</v>
      </c>
      <c r="B332">
        <v>21</v>
      </c>
      <c r="C332">
        <v>24</v>
      </c>
      <c r="D332">
        <v>40</v>
      </c>
      <c r="E332">
        <v>42</v>
      </c>
      <c r="F332">
        <v>44</v>
      </c>
      <c r="G332">
        <v>48</v>
      </c>
      <c r="H332">
        <v>1</v>
      </c>
    </row>
    <row r="333" spans="1:8" x14ac:dyDescent="0.2">
      <c r="A333" s="1">
        <v>44249</v>
      </c>
      <c r="B333">
        <v>3</v>
      </c>
      <c r="C333">
        <v>6</v>
      </c>
      <c r="D333">
        <v>8</v>
      </c>
      <c r="E333">
        <v>11</v>
      </c>
      <c r="F333">
        <v>36</v>
      </c>
      <c r="G333">
        <v>48</v>
      </c>
      <c r="H333">
        <v>1</v>
      </c>
    </row>
    <row r="334" spans="1:8" x14ac:dyDescent="0.2">
      <c r="A334" s="1">
        <v>44245</v>
      </c>
      <c r="B334">
        <v>1</v>
      </c>
      <c r="C334">
        <v>4</v>
      </c>
      <c r="D334">
        <v>6</v>
      </c>
      <c r="E334">
        <v>15</v>
      </c>
      <c r="F334">
        <v>40</v>
      </c>
      <c r="G334">
        <v>44</v>
      </c>
      <c r="H334">
        <v>37</v>
      </c>
    </row>
    <row r="335" spans="1:8" x14ac:dyDescent="0.2">
      <c r="A335" s="1">
        <v>44242</v>
      </c>
      <c r="B335">
        <v>9</v>
      </c>
      <c r="C335">
        <v>13</v>
      </c>
      <c r="D335">
        <v>18</v>
      </c>
      <c r="E335">
        <v>20</v>
      </c>
      <c r="F335">
        <v>34</v>
      </c>
      <c r="G335">
        <v>40</v>
      </c>
      <c r="H335">
        <v>36</v>
      </c>
    </row>
    <row r="336" spans="1:8" x14ac:dyDescent="0.2">
      <c r="A336" s="1">
        <v>44238</v>
      </c>
      <c r="B336">
        <v>10</v>
      </c>
      <c r="C336">
        <v>23</v>
      </c>
      <c r="D336">
        <v>25</v>
      </c>
      <c r="E336">
        <v>28</v>
      </c>
      <c r="F336">
        <v>46</v>
      </c>
      <c r="G336">
        <v>49</v>
      </c>
      <c r="H336">
        <v>36</v>
      </c>
    </row>
    <row r="337" spans="1:8" x14ac:dyDescent="0.2">
      <c r="A337" s="1">
        <v>44235</v>
      </c>
      <c r="B337">
        <v>9</v>
      </c>
      <c r="C337">
        <v>10</v>
      </c>
      <c r="D337">
        <v>25</v>
      </c>
      <c r="E337">
        <v>27</v>
      </c>
      <c r="F337">
        <v>34</v>
      </c>
      <c r="G337">
        <v>42</v>
      </c>
      <c r="H337">
        <v>29</v>
      </c>
    </row>
    <row r="338" spans="1:8" x14ac:dyDescent="0.2">
      <c r="A338" s="1">
        <v>44232</v>
      </c>
      <c r="B338">
        <v>8</v>
      </c>
      <c r="C338">
        <v>9</v>
      </c>
      <c r="D338">
        <v>11</v>
      </c>
      <c r="E338">
        <v>24</v>
      </c>
      <c r="F338">
        <v>26</v>
      </c>
      <c r="G338">
        <v>47</v>
      </c>
      <c r="H338">
        <v>34</v>
      </c>
    </row>
    <row r="339" spans="1:8" x14ac:dyDescent="0.2">
      <c r="A339" s="1">
        <v>44228</v>
      </c>
      <c r="B339">
        <v>4</v>
      </c>
      <c r="C339">
        <v>6</v>
      </c>
      <c r="D339">
        <v>9</v>
      </c>
      <c r="E339">
        <v>18</v>
      </c>
      <c r="F339">
        <v>27</v>
      </c>
      <c r="G339">
        <v>39</v>
      </c>
      <c r="H339">
        <v>33</v>
      </c>
    </row>
    <row r="340" spans="1:8" x14ac:dyDescent="0.2">
      <c r="A340" s="1">
        <v>44224</v>
      </c>
      <c r="B340">
        <v>6</v>
      </c>
      <c r="C340">
        <v>16</v>
      </c>
      <c r="D340">
        <v>25</v>
      </c>
      <c r="E340">
        <v>32</v>
      </c>
      <c r="F340">
        <v>35</v>
      </c>
      <c r="G340">
        <v>37</v>
      </c>
      <c r="H340">
        <v>22</v>
      </c>
    </row>
    <row r="341" spans="1:8" x14ac:dyDescent="0.2">
      <c r="A341" s="1">
        <v>44221</v>
      </c>
      <c r="B341">
        <v>8</v>
      </c>
      <c r="C341">
        <v>9</v>
      </c>
      <c r="D341">
        <v>12</v>
      </c>
      <c r="E341">
        <v>17</v>
      </c>
      <c r="F341">
        <v>33</v>
      </c>
      <c r="G341">
        <v>39</v>
      </c>
      <c r="H341">
        <v>48</v>
      </c>
    </row>
    <row r="342" spans="1:8" x14ac:dyDescent="0.2">
      <c r="A342" s="1">
        <v>44217</v>
      </c>
      <c r="B342">
        <v>8</v>
      </c>
      <c r="C342">
        <v>11</v>
      </c>
      <c r="D342">
        <v>15</v>
      </c>
      <c r="E342">
        <v>17</v>
      </c>
      <c r="F342">
        <v>19</v>
      </c>
      <c r="G342">
        <v>35</v>
      </c>
      <c r="H342">
        <v>45</v>
      </c>
    </row>
    <row r="343" spans="1:8" x14ac:dyDescent="0.2">
      <c r="A343" s="1">
        <v>44214</v>
      </c>
      <c r="B343">
        <v>2</v>
      </c>
      <c r="C343">
        <v>12</v>
      </c>
      <c r="D343">
        <v>23</v>
      </c>
      <c r="E343">
        <v>33</v>
      </c>
      <c r="F343">
        <v>35</v>
      </c>
      <c r="G343">
        <v>37</v>
      </c>
      <c r="H343">
        <v>43</v>
      </c>
    </row>
    <row r="344" spans="1:8" x14ac:dyDescent="0.2">
      <c r="A344" s="1">
        <v>44210</v>
      </c>
      <c r="B344">
        <v>12</v>
      </c>
      <c r="C344">
        <v>21</v>
      </c>
      <c r="D344">
        <v>23</v>
      </c>
      <c r="E344">
        <v>25</v>
      </c>
      <c r="F344">
        <v>32</v>
      </c>
      <c r="G344">
        <v>44</v>
      </c>
      <c r="H344">
        <v>42</v>
      </c>
    </row>
    <row r="345" spans="1:8" x14ac:dyDescent="0.2">
      <c r="A345" s="1">
        <v>44207</v>
      </c>
      <c r="B345">
        <v>3</v>
      </c>
      <c r="C345">
        <v>5</v>
      </c>
      <c r="D345">
        <v>8</v>
      </c>
      <c r="E345">
        <v>19</v>
      </c>
      <c r="F345">
        <v>26</v>
      </c>
      <c r="G345">
        <v>47</v>
      </c>
      <c r="H345">
        <v>41</v>
      </c>
    </row>
    <row r="346" spans="1:8" x14ac:dyDescent="0.2">
      <c r="A346" s="1">
        <v>44203</v>
      </c>
      <c r="B346">
        <v>1</v>
      </c>
      <c r="C346">
        <v>7</v>
      </c>
      <c r="D346">
        <v>9</v>
      </c>
      <c r="E346">
        <v>12</v>
      </c>
      <c r="F346">
        <v>32</v>
      </c>
      <c r="G346">
        <v>36</v>
      </c>
      <c r="H346">
        <v>17</v>
      </c>
    </row>
    <row r="347" spans="1:8" x14ac:dyDescent="0.2">
      <c r="A347" s="1">
        <v>44200</v>
      </c>
      <c r="B347">
        <v>4</v>
      </c>
      <c r="C347">
        <v>5</v>
      </c>
      <c r="D347">
        <v>8</v>
      </c>
      <c r="E347">
        <v>12</v>
      </c>
      <c r="F347">
        <v>27</v>
      </c>
      <c r="G347">
        <v>42</v>
      </c>
      <c r="H347">
        <v>14</v>
      </c>
    </row>
    <row r="348" spans="1:8" x14ac:dyDescent="0.2">
      <c r="A348" s="1">
        <v>44197</v>
      </c>
      <c r="B348">
        <v>5</v>
      </c>
      <c r="C348">
        <v>8</v>
      </c>
      <c r="D348">
        <v>13</v>
      </c>
      <c r="E348">
        <v>16</v>
      </c>
      <c r="F348">
        <v>35</v>
      </c>
      <c r="G348">
        <v>47</v>
      </c>
      <c r="H348">
        <v>2</v>
      </c>
    </row>
    <row r="349" spans="1:8" x14ac:dyDescent="0.2">
      <c r="A349" s="1">
        <v>44193</v>
      </c>
      <c r="B349">
        <v>32</v>
      </c>
      <c r="C349">
        <v>34</v>
      </c>
      <c r="D349">
        <v>40</v>
      </c>
      <c r="E349">
        <v>45</v>
      </c>
      <c r="F349">
        <v>46</v>
      </c>
      <c r="G349">
        <v>47</v>
      </c>
      <c r="H349">
        <v>25</v>
      </c>
    </row>
    <row r="350" spans="1:8" x14ac:dyDescent="0.2">
      <c r="A350" s="1">
        <v>44189</v>
      </c>
      <c r="B350">
        <v>5</v>
      </c>
      <c r="C350">
        <v>11</v>
      </c>
      <c r="D350">
        <v>19</v>
      </c>
      <c r="E350">
        <v>21</v>
      </c>
      <c r="F350">
        <v>22</v>
      </c>
      <c r="G350">
        <v>37</v>
      </c>
      <c r="H350">
        <v>26</v>
      </c>
    </row>
    <row r="351" spans="1:8" x14ac:dyDescent="0.2">
      <c r="A351" s="1">
        <v>44186</v>
      </c>
      <c r="B351">
        <v>4</v>
      </c>
      <c r="C351">
        <v>8</v>
      </c>
      <c r="D351">
        <v>15</v>
      </c>
      <c r="E351">
        <v>31</v>
      </c>
      <c r="F351">
        <v>36</v>
      </c>
      <c r="G351">
        <v>39</v>
      </c>
      <c r="H351">
        <v>47</v>
      </c>
    </row>
    <row r="352" spans="1:8" x14ac:dyDescent="0.2">
      <c r="A352" s="1">
        <v>44182</v>
      </c>
      <c r="B352">
        <v>5</v>
      </c>
      <c r="C352">
        <v>8</v>
      </c>
      <c r="D352">
        <v>27</v>
      </c>
      <c r="E352">
        <v>33</v>
      </c>
      <c r="F352">
        <v>35</v>
      </c>
      <c r="G352">
        <v>41</v>
      </c>
      <c r="H352">
        <v>30</v>
      </c>
    </row>
    <row r="353" spans="1:8" x14ac:dyDescent="0.2">
      <c r="A353" s="1">
        <v>44179</v>
      </c>
      <c r="B353">
        <v>6</v>
      </c>
      <c r="C353">
        <v>21</v>
      </c>
      <c r="D353">
        <v>29</v>
      </c>
      <c r="E353">
        <v>45</v>
      </c>
      <c r="F353">
        <v>47</v>
      </c>
      <c r="G353">
        <v>48</v>
      </c>
      <c r="H353">
        <v>15</v>
      </c>
    </row>
    <row r="354" spans="1:8" x14ac:dyDescent="0.2">
      <c r="A354" s="1">
        <v>44175</v>
      </c>
      <c r="B354">
        <v>10</v>
      </c>
      <c r="C354">
        <v>17</v>
      </c>
      <c r="D354">
        <v>22</v>
      </c>
      <c r="E354">
        <v>23</v>
      </c>
      <c r="F354">
        <v>27</v>
      </c>
      <c r="G354">
        <v>33</v>
      </c>
      <c r="H354">
        <v>34</v>
      </c>
    </row>
    <row r="355" spans="1:8" x14ac:dyDescent="0.2">
      <c r="A355" s="1">
        <v>44172</v>
      </c>
      <c r="B355">
        <v>7</v>
      </c>
      <c r="C355">
        <v>13</v>
      </c>
      <c r="D355">
        <v>14</v>
      </c>
      <c r="E355">
        <v>33</v>
      </c>
      <c r="F355">
        <v>37</v>
      </c>
      <c r="G355">
        <v>48</v>
      </c>
      <c r="H355">
        <v>24</v>
      </c>
    </row>
    <row r="356" spans="1:8" x14ac:dyDescent="0.2">
      <c r="A356" s="1">
        <v>44168</v>
      </c>
      <c r="B356">
        <v>1</v>
      </c>
      <c r="C356">
        <v>7</v>
      </c>
      <c r="D356">
        <v>8</v>
      </c>
      <c r="E356">
        <v>11</v>
      </c>
      <c r="F356">
        <v>36</v>
      </c>
      <c r="G356">
        <v>40</v>
      </c>
      <c r="H356">
        <v>31</v>
      </c>
    </row>
    <row r="357" spans="1:8" x14ac:dyDescent="0.2">
      <c r="A357" s="1">
        <v>44165</v>
      </c>
      <c r="B357">
        <v>2</v>
      </c>
      <c r="C357">
        <v>3</v>
      </c>
      <c r="D357">
        <v>25</v>
      </c>
      <c r="E357">
        <v>33</v>
      </c>
      <c r="F357">
        <v>35</v>
      </c>
      <c r="G357">
        <v>49</v>
      </c>
      <c r="H357">
        <v>10</v>
      </c>
    </row>
    <row r="358" spans="1:8" x14ac:dyDescent="0.2">
      <c r="A358" s="1">
        <v>44161</v>
      </c>
      <c r="B358">
        <v>2</v>
      </c>
      <c r="C358">
        <v>5</v>
      </c>
      <c r="D358">
        <v>8</v>
      </c>
      <c r="E358">
        <v>27</v>
      </c>
      <c r="F358">
        <v>35</v>
      </c>
      <c r="G358">
        <v>48</v>
      </c>
      <c r="H358">
        <v>29</v>
      </c>
    </row>
    <row r="359" spans="1:8" x14ac:dyDescent="0.2">
      <c r="A359" s="1">
        <v>44158</v>
      </c>
      <c r="B359">
        <v>1</v>
      </c>
      <c r="C359">
        <v>7</v>
      </c>
      <c r="D359">
        <v>11</v>
      </c>
      <c r="E359">
        <v>22</v>
      </c>
      <c r="F359">
        <v>30</v>
      </c>
      <c r="G359">
        <v>45</v>
      </c>
      <c r="H359">
        <v>48</v>
      </c>
    </row>
    <row r="360" spans="1:8" x14ac:dyDescent="0.2">
      <c r="A360" s="1">
        <v>44154</v>
      </c>
      <c r="B360">
        <v>3</v>
      </c>
      <c r="C360">
        <v>12</v>
      </c>
      <c r="D360">
        <v>22</v>
      </c>
      <c r="E360">
        <v>23</v>
      </c>
      <c r="F360">
        <v>34</v>
      </c>
      <c r="G360">
        <v>42</v>
      </c>
      <c r="H360">
        <v>49</v>
      </c>
    </row>
    <row r="361" spans="1:8" x14ac:dyDescent="0.2">
      <c r="A361" s="1">
        <v>44151</v>
      </c>
      <c r="B361">
        <v>1</v>
      </c>
      <c r="C361">
        <v>2</v>
      </c>
      <c r="D361">
        <v>20</v>
      </c>
      <c r="E361">
        <v>27</v>
      </c>
      <c r="F361">
        <v>36</v>
      </c>
      <c r="G361">
        <v>44</v>
      </c>
      <c r="H361">
        <v>17</v>
      </c>
    </row>
    <row r="362" spans="1:8" x14ac:dyDescent="0.2">
      <c r="A362" s="1">
        <v>44147</v>
      </c>
      <c r="B362">
        <v>9</v>
      </c>
      <c r="C362">
        <v>11</v>
      </c>
      <c r="D362">
        <v>14</v>
      </c>
      <c r="E362">
        <v>22</v>
      </c>
      <c r="F362">
        <v>26</v>
      </c>
      <c r="G362">
        <v>35</v>
      </c>
      <c r="H362">
        <v>20</v>
      </c>
    </row>
    <row r="363" spans="1:8" x14ac:dyDescent="0.2">
      <c r="A363" s="1">
        <v>44144</v>
      </c>
      <c r="B363">
        <v>8</v>
      </c>
      <c r="C363">
        <v>12</v>
      </c>
      <c r="D363">
        <v>13</v>
      </c>
      <c r="E363">
        <v>30</v>
      </c>
      <c r="F363">
        <v>37</v>
      </c>
      <c r="G363">
        <v>46</v>
      </c>
      <c r="H363">
        <v>36</v>
      </c>
    </row>
    <row r="364" spans="1:8" x14ac:dyDescent="0.2">
      <c r="A364" s="1">
        <v>44140</v>
      </c>
      <c r="B364">
        <v>3</v>
      </c>
      <c r="C364">
        <v>19</v>
      </c>
      <c r="D364">
        <v>25</v>
      </c>
      <c r="E364">
        <v>33</v>
      </c>
      <c r="F364">
        <v>40</v>
      </c>
      <c r="G364">
        <v>44</v>
      </c>
      <c r="H364">
        <v>37</v>
      </c>
    </row>
    <row r="365" spans="1:8" x14ac:dyDescent="0.2">
      <c r="A365" s="1">
        <v>44137</v>
      </c>
      <c r="B365">
        <v>3</v>
      </c>
      <c r="C365">
        <v>36</v>
      </c>
      <c r="D365">
        <v>37</v>
      </c>
      <c r="E365">
        <v>44</v>
      </c>
      <c r="F365">
        <v>48</v>
      </c>
      <c r="G365">
        <v>49</v>
      </c>
      <c r="H365">
        <v>35</v>
      </c>
    </row>
    <row r="366" spans="1:8" x14ac:dyDescent="0.2">
      <c r="A366" s="1">
        <v>44133</v>
      </c>
      <c r="B366">
        <v>10</v>
      </c>
      <c r="C366">
        <v>12</v>
      </c>
      <c r="D366">
        <v>27</v>
      </c>
      <c r="E366">
        <v>37</v>
      </c>
      <c r="F366">
        <v>39</v>
      </c>
      <c r="G366">
        <v>46</v>
      </c>
      <c r="H366">
        <v>13</v>
      </c>
    </row>
    <row r="367" spans="1:8" x14ac:dyDescent="0.2">
      <c r="A367" s="1">
        <v>44130</v>
      </c>
      <c r="B367">
        <v>2</v>
      </c>
      <c r="C367">
        <v>8</v>
      </c>
      <c r="D367">
        <v>11</v>
      </c>
      <c r="E367">
        <v>19</v>
      </c>
      <c r="F367">
        <v>41</v>
      </c>
      <c r="G367">
        <v>49</v>
      </c>
      <c r="H367">
        <v>27</v>
      </c>
    </row>
    <row r="368" spans="1:8" x14ac:dyDescent="0.2">
      <c r="A368" s="1">
        <v>44126</v>
      </c>
      <c r="B368">
        <v>11</v>
      </c>
      <c r="C368">
        <v>25</v>
      </c>
      <c r="D368">
        <v>28</v>
      </c>
      <c r="E368">
        <v>30</v>
      </c>
      <c r="F368">
        <v>34</v>
      </c>
      <c r="G368">
        <v>36</v>
      </c>
      <c r="H368">
        <v>24</v>
      </c>
    </row>
    <row r="369" spans="1:8" x14ac:dyDescent="0.2">
      <c r="A369" s="1">
        <v>44123</v>
      </c>
      <c r="B369">
        <v>9</v>
      </c>
      <c r="C369">
        <v>10</v>
      </c>
      <c r="D369">
        <v>11</v>
      </c>
      <c r="E369">
        <v>13</v>
      </c>
      <c r="F369">
        <v>20</v>
      </c>
      <c r="G369">
        <v>25</v>
      </c>
      <c r="H369">
        <v>15</v>
      </c>
    </row>
    <row r="370" spans="1:8" x14ac:dyDescent="0.2">
      <c r="A370" s="1">
        <v>44119</v>
      </c>
      <c r="B370">
        <v>14</v>
      </c>
      <c r="C370">
        <v>27</v>
      </c>
      <c r="D370">
        <v>28</v>
      </c>
      <c r="E370">
        <v>31</v>
      </c>
      <c r="F370">
        <v>46</v>
      </c>
      <c r="G370">
        <v>48</v>
      </c>
      <c r="H370">
        <v>7</v>
      </c>
    </row>
    <row r="371" spans="1:8" x14ac:dyDescent="0.2">
      <c r="A371" s="1">
        <v>44116</v>
      </c>
      <c r="B371">
        <v>1</v>
      </c>
      <c r="C371">
        <v>10</v>
      </c>
      <c r="D371">
        <v>14</v>
      </c>
      <c r="E371">
        <v>40</v>
      </c>
      <c r="F371">
        <v>41</v>
      </c>
      <c r="G371">
        <v>48</v>
      </c>
      <c r="H371">
        <v>30</v>
      </c>
    </row>
    <row r="372" spans="1:8" x14ac:dyDescent="0.2">
      <c r="A372" s="1">
        <v>44112</v>
      </c>
      <c r="B372">
        <v>2</v>
      </c>
      <c r="C372">
        <v>3</v>
      </c>
      <c r="D372">
        <v>7</v>
      </c>
      <c r="E372">
        <v>12</v>
      </c>
      <c r="F372">
        <v>21</v>
      </c>
      <c r="G372">
        <v>34</v>
      </c>
      <c r="H372">
        <v>41</v>
      </c>
    </row>
    <row r="373" spans="1:8" x14ac:dyDescent="0.2">
      <c r="A373" s="1">
        <v>44109</v>
      </c>
      <c r="B373">
        <v>7</v>
      </c>
      <c r="C373">
        <v>10</v>
      </c>
      <c r="D373">
        <v>14</v>
      </c>
      <c r="E373">
        <v>15</v>
      </c>
      <c r="F373">
        <v>39</v>
      </c>
      <c r="G373">
        <v>44</v>
      </c>
      <c r="H373">
        <v>1</v>
      </c>
    </row>
    <row r="374" spans="1:8" x14ac:dyDescent="0.2">
      <c r="A374" s="1">
        <v>44105</v>
      </c>
      <c r="B374">
        <v>7</v>
      </c>
      <c r="C374">
        <v>10</v>
      </c>
      <c r="D374">
        <v>11</v>
      </c>
      <c r="E374">
        <v>21</v>
      </c>
      <c r="F374">
        <v>26</v>
      </c>
      <c r="G374">
        <v>48</v>
      </c>
      <c r="H374">
        <v>13</v>
      </c>
    </row>
    <row r="375" spans="1:8" x14ac:dyDescent="0.2">
      <c r="A375" s="1">
        <v>44102</v>
      </c>
      <c r="B375">
        <v>5</v>
      </c>
      <c r="C375">
        <v>16</v>
      </c>
      <c r="D375">
        <v>27</v>
      </c>
      <c r="E375">
        <v>34</v>
      </c>
      <c r="F375">
        <v>41</v>
      </c>
      <c r="G375">
        <v>42</v>
      </c>
      <c r="H375">
        <v>49</v>
      </c>
    </row>
    <row r="376" spans="1:8" x14ac:dyDescent="0.2">
      <c r="A376" s="1">
        <v>44098</v>
      </c>
      <c r="B376">
        <v>4</v>
      </c>
      <c r="C376">
        <v>31</v>
      </c>
      <c r="D376">
        <v>36</v>
      </c>
      <c r="E376">
        <v>40</v>
      </c>
      <c r="F376">
        <v>45</v>
      </c>
      <c r="G376">
        <v>48</v>
      </c>
      <c r="H376">
        <v>26</v>
      </c>
    </row>
    <row r="377" spans="1:8" x14ac:dyDescent="0.2">
      <c r="A377" s="1">
        <v>44095</v>
      </c>
      <c r="B377">
        <v>13</v>
      </c>
      <c r="C377">
        <v>16</v>
      </c>
      <c r="D377">
        <v>17</v>
      </c>
      <c r="E377">
        <v>20</v>
      </c>
      <c r="F377">
        <v>27</v>
      </c>
      <c r="G377">
        <v>38</v>
      </c>
      <c r="H377">
        <v>26</v>
      </c>
    </row>
    <row r="378" spans="1:8" x14ac:dyDescent="0.2">
      <c r="A378" s="1">
        <v>44091</v>
      </c>
      <c r="B378">
        <v>1</v>
      </c>
      <c r="C378">
        <v>3</v>
      </c>
      <c r="D378">
        <v>9</v>
      </c>
      <c r="E378">
        <v>19</v>
      </c>
      <c r="F378">
        <v>36</v>
      </c>
      <c r="G378">
        <v>39</v>
      </c>
      <c r="H378">
        <v>5</v>
      </c>
    </row>
    <row r="379" spans="1:8" x14ac:dyDescent="0.2">
      <c r="A379" s="1">
        <v>44088</v>
      </c>
      <c r="B379">
        <v>2</v>
      </c>
      <c r="C379">
        <v>11</v>
      </c>
      <c r="D379">
        <v>13</v>
      </c>
      <c r="E379">
        <v>15</v>
      </c>
      <c r="F379">
        <v>28</v>
      </c>
      <c r="G379">
        <v>45</v>
      </c>
      <c r="H379">
        <v>36</v>
      </c>
    </row>
    <row r="380" spans="1:8" x14ac:dyDescent="0.2">
      <c r="A380" s="1">
        <v>44084</v>
      </c>
      <c r="B380">
        <v>15</v>
      </c>
      <c r="C380">
        <v>21</v>
      </c>
      <c r="D380">
        <v>27</v>
      </c>
      <c r="E380">
        <v>36</v>
      </c>
      <c r="F380">
        <v>39</v>
      </c>
      <c r="G380">
        <v>43</v>
      </c>
      <c r="H380">
        <v>45</v>
      </c>
    </row>
    <row r="381" spans="1:8" x14ac:dyDescent="0.2">
      <c r="A381" s="1">
        <v>44081</v>
      </c>
      <c r="B381">
        <v>9</v>
      </c>
      <c r="C381">
        <v>11</v>
      </c>
      <c r="D381">
        <v>19</v>
      </c>
      <c r="E381">
        <v>22</v>
      </c>
      <c r="F381">
        <v>36</v>
      </c>
      <c r="G381">
        <v>45</v>
      </c>
      <c r="H381">
        <v>23</v>
      </c>
    </row>
    <row r="382" spans="1:8" x14ac:dyDescent="0.2">
      <c r="A382" s="1">
        <v>44077</v>
      </c>
      <c r="B382">
        <v>4</v>
      </c>
      <c r="C382">
        <v>16</v>
      </c>
      <c r="D382">
        <v>27</v>
      </c>
      <c r="E382">
        <v>32</v>
      </c>
      <c r="F382">
        <v>44</v>
      </c>
      <c r="G382">
        <v>47</v>
      </c>
      <c r="H382">
        <v>9</v>
      </c>
    </row>
    <row r="383" spans="1:8" x14ac:dyDescent="0.2">
      <c r="A383" s="1">
        <v>44074</v>
      </c>
      <c r="B383">
        <v>12</v>
      </c>
      <c r="C383">
        <v>15</v>
      </c>
      <c r="D383">
        <v>16</v>
      </c>
      <c r="E383">
        <v>23</v>
      </c>
      <c r="F383">
        <v>25</v>
      </c>
      <c r="G383">
        <v>46</v>
      </c>
      <c r="H383">
        <v>47</v>
      </c>
    </row>
    <row r="384" spans="1:8" x14ac:dyDescent="0.2">
      <c r="A384" s="1">
        <v>44070</v>
      </c>
      <c r="B384">
        <v>2</v>
      </c>
      <c r="C384">
        <v>10</v>
      </c>
      <c r="D384">
        <v>13</v>
      </c>
      <c r="E384">
        <v>32</v>
      </c>
      <c r="F384">
        <v>41</v>
      </c>
      <c r="G384">
        <v>43</v>
      </c>
      <c r="H384">
        <v>24</v>
      </c>
    </row>
    <row r="385" spans="1:8" x14ac:dyDescent="0.2">
      <c r="A385" s="1">
        <v>44067</v>
      </c>
      <c r="B385">
        <v>1</v>
      </c>
      <c r="C385">
        <v>19</v>
      </c>
      <c r="D385">
        <v>24</v>
      </c>
      <c r="E385">
        <v>26</v>
      </c>
      <c r="F385">
        <v>37</v>
      </c>
      <c r="G385">
        <v>41</v>
      </c>
      <c r="H385">
        <v>22</v>
      </c>
    </row>
    <row r="386" spans="1:8" x14ac:dyDescent="0.2">
      <c r="A386" s="1">
        <v>44063</v>
      </c>
      <c r="B386">
        <v>6</v>
      </c>
      <c r="C386">
        <v>15</v>
      </c>
      <c r="D386">
        <v>19</v>
      </c>
      <c r="E386">
        <v>26</v>
      </c>
      <c r="F386">
        <v>30</v>
      </c>
      <c r="G386">
        <v>48</v>
      </c>
      <c r="H386">
        <v>41</v>
      </c>
    </row>
    <row r="387" spans="1:8" x14ac:dyDescent="0.2">
      <c r="A387" s="1">
        <v>44060</v>
      </c>
      <c r="B387">
        <v>1</v>
      </c>
      <c r="C387">
        <v>2</v>
      </c>
      <c r="D387">
        <v>15</v>
      </c>
      <c r="E387">
        <v>30</v>
      </c>
      <c r="F387">
        <v>35</v>
      </c>
      <c r="G387">
        <v>46</v>
      </c>
      <c r="H387">
        <v>38</v>
      </c>
    </row>
    <row r="388" spans="1:8" x14ac:dyDescent="0.2">
      <c r="A388" s="1">
        <v>44056</v>
      </c>
      <c r="B388">
        <v>5</v>
      </c>
      <c r="C388">
        <v>9</v>
      </c>
      <c r="D388">
        <v>29</v>
      </c>
      <c r="E388">
        <v>41</v>
      </c>
      <c r="F388">
        <v>42</v>
      </c>
      <c r="G388">
        <v>43</v>
      </c>
      <c r="H388">
        <v>28</v>
      </c>
    </row>
    <row r="389" spans="1:8" x14ac:dyDescent="0.2">
      <c r="A389" s="1">
        <v>44053</v>
      </c>
      <c r="B389">
        <v>9</v>
      </c>
      <c r="C389">
        <v>19</v>
      </c>
      <c r="D389">
        <v>20</v>
      </c>
      <c r="E389">
        <v>29</v>
      </c>
      <c r="F389">
        <v>36</v>
      </c>
      <c r="G389">
        <v>43</v>
      </c>
      <c r="H389">
        <v>38</v>
      </c>
    </row>
    <row r="390" spans="1:8" x14ac:dyDescent="0.2">
      <c r="A390" s="1">
        <v>44049</v>
      </c>
      <c r="B390">
        <v>10</v>
      </c>
      <c r="C390">
        <v>28</v>
      </c>
      <c r="D390">
        <v>35</v>
      </c>
      <c r="E390">
        <v>39</v>
      </c>
      <c r="F390">
        <v>41</v>
      </c>
      <c r="G390">
        <v>43</v>
      </c>
      <c r="H390">
        <v>44</v>
      </c>
    </row>
    <row r="391" spans="1:8" x14ac:dyDescent="0.2">
      <c r="A391" s="1">
        <v>44046</v>
      </c>
      <c r="B391">
        <v>1</v>
      </c>
      <c r="C391">
        <v>3</v>
      </c>
      <c r="D391">
        <v>10</v>
      </c>
      <c r="E391">
        <v>15</v>
      </c>
      <c r="F391">
        <v>32</v>
      </c>
      <c r="G391">
        <v>40</v>
      </c>
      <c r="H391">
        <v>7</v>
      </c>
    </row>
    <row r="392" spans="1:8" x14ac:dyDescent="0.2">
      <c r="A392" s="1">
        <v>44042</v>
      </c>
      <c r="B392">
        <v>18</v>
      </c>
      <c r="C392">
        <v>24</v>
      </c>
      <c r="D392">
        <v>34</v>
      </c>
      <c r="E392">
        <v>38</v>
      </c>
      <c r="F392">
        <v>43</v>
      </c>
      <c r="G392">
        <v>48</v>
      </c>
      <c r="H392">
        <v>8</v>
      </c>
    </row>
    <row r="393" spans="1:8" x14ac:dyDescent="0.2">
      <c r="A393" s="1">
        <v>44039</v>
      </c>
      <c r="B393">
        <v>4</v>
      </c>
      <c r="C393">
        <v>19</v>
      </c>
      <c r="D393">
        <v>25</v>
      </c>
      <c r="E393">
        <v>31</v>
      </c>
      <c r="F393">
        <v>34</v>
      </c>
      <c r="G393">
        <v>37</v>
      </c>
      <c r="H393">
        <v>32</v>
      </c>
    </row>
    <row r="394" spans="1:8" x14ac:dyDescent="0.2">
      <c r="A394" s="1">
        <v>44035</v>
      </c>
      <c r="B394">
        <v>4</v>
      </c>
      <c r="C394">
        <v>12</v>
      </c>
      <c r="D394">
        <v>13</v>
      </c>
      <c r="E394">
        <v>20</v>
      </c>
      <c r="F394">
        <v>35</v>
      </c>
      <c r="G394">
        <v>36</v>
      </c>
      <c r="H394">
        <v>18</v>
      </c>
    </row>
    <row r="395" spans="1:8" x14ac:dyDescent="0.2">
      <c r="A395" s="1">
        <v>44032</v>
      </c>
      <c r="B395">
        <v>1</v>
      </c>
      <c r="C395">
        <v>20</v>
      </c>
      <c r="D395">
        <v>23</v>
      </c>
      <c r="E395">
        <v>24</v>
      </c>
      <c r="F395">
        <v>40</v>
      </c>
      <c r="G395">
        <v>42</v>
      </c>
      <c r="H395">
        <v>48</v>
      </c>
    </row>
    <row r="396" spans="1:8" x14ac:dyDescent="0.2">
      <c r="A396" s="1">
        <v>44028</v>
      </c>
      <c r="B396">
        <v>5</v>
      </c>
      <c r="C396">
        <v>18</v>
      </c>
      <c r="D396">
        <v>27</v>
      </c>
      <c r="E396">
        <v>28</v>
      </c>
      <c r="F396">
        <v>29</v>
      </c>
      <c r="G396">
        <v>37</v>
      </c>
      <c r="H396">
        <v>21</v>
      </c>
    </row>
    <row r="397" spans="1:8" x14ac:dyDescent="0.2">
      <c r="A397" s="1">
        <v>44025</v>
      </c>
      <c r="B397">
        <v>6</v>
      </c>
      <c r="C397">
        <v>22</v>
      </c>
      <c r="D397">
        <v>34</v>
      </c>
      <c r="E397">
        <v>35</v>
      </c>
      <c r="F397">
        <v>37</v>
      </c>
      <c r="G397">
        <v>43</v>
      </c>
      <c r="H397">
        <v>33</v>
      </c>
    </row>
    <row r="398" spans="1:8" x14ac:dyDescent="0.2">
      <c r="A398" s="1">
        <v>44021</v>
      </c>
      <c r="B398">
        <v>8</v>
      </c>
      <c r="C398">
        <v>10</v>
      </c>
      <c r="D398">
        <v>12</v>
      </c>
      <c r="E398">
        <v>16</v>
      </c>
      <c r="F398">
        <v>21</v>
      </c>
      <c r="G398">
        <v>48</v>
      </c>
      <c r="H398">
        <v>41</v>
      </c>
    </row>
    <row r="399" spans="1:8" x14ac:dyDescent="0.2">
      <c r="A399" s="1">
        <v>44018</v>
      </c>
      <c r="B399">
        <v>1</v>
      </c>
      <c r="C399">
        <v>22</v>
      </c>
      <c r="D399">
        <v>26</v>
      </c>
      <c r="E399">
        <v>38</v>
      </c>
      <c r="F399">
        <v>39</v>
      </c>
      <c r="G399">
        <v>48</v>
      </c>
      <c r="H399">
        <v>40</v>
      </c>
    </row>
    <row r="400" spans="1:8" x14ac:dyDescent="0.2">
      <c r="A400" s="1">
        <v>44014</v>
      </c>
      <c r="B400">
        <v>3</v>
      </c>
      <c r="C400">
        <v>20</v>
      </c>
      <c r="D400">
        <v>36</v>
      </c>
      <c r="E400">
        <v>38</v>
      </c>
      <c r="F400">
        <v>43</v>
      </c>
      <c r="G400">
        <v>48</v>
      </c>
      <c r="H400">
        <v>16</v>
      </c>
    </row>
    <row r="401" spans="1:8" x14ac:dyDescent="0.2">
      <c r="A401" s="1">
        <v>44011</v>
      </c>
      <c r="B401">
        <v>3</v>
      </c>
      <c r="C401">
        <v>9</v>
      </c>
      <c r="D401">
        <v>17</v>
      </c>
      <c r="E401">
        <v>38</v>
      </c>
      <c r="F401">
        <v>39</v>
      </c>
      <c r="G401">
        <v>41</v>
      </c>
      <c r="H401">
        <v>13</v>
      </c>
    </row>
    <row r="402" spans="1:8" x14ac:dyDescent="0.2">
      <c r="A402" s="1">
        <v>44007</v>
      </c>
      <c r="B402">
        <v>23</v>
      </c>
      <c r="C402">
        <v>37</v>
      </c>
      <c r="D402">
        <v>42</v>
      </c>
      <c r="E402">
        <v>43</v>
      </c>
      <c r="F402">
        <v>47</v>
      </c>
      <c r="G402">
        <v>49</v>
      </c>
      <c r="H402">
        <v>34</v>
      </c>
    </row>
    <row r="403" spans="1:8" x14ac:dyDescent="0.2">
      <c r="A403" s="1">
        <v>43923</v>
      </c>
      <c r="B403">
        <v>4</v>
      </c>
      <c r="C403">
        <v>11</v>
      </c>
      <c r="D403">
        <v>14</v>
      </c>
      <c r="E403">
        <v>23</v>
      </c>
      <c r="F403">
        <v>28</v>
      </c>
      <c r="G403">
        <v>47</v>
      </c>
      <c r="H403">
        <v>24</v>
      </c>
    </row>
    <row r="404" spans="1:8" x14ac:dyDescent="0.2">
      <c r="A404" s="1">
        <v>43920</v>
      </c>
      <c r="B404">
        <v>1</v>
      </c>
      <c r="C404">
        <v>7</v>
      </c>
      <c r="D404">
        <v>17</v>
      </c>
      <c r="E404">
        <v>29</v>
      </c>
      <c r="F404">
        <v>30</v>
      </c>
      <c r="G404">
        <v>43</v>
      </c>
      <c r="H404">
        <v>31</v>
      </c>
    </row>
    <row r="405" spans="1:8" x14ac:dyDescent="0.2">
      <c r="A405" s="1">
        <v>43916</v>
      </c>
      <c r="B405">
        <v>7</v>
      </c>
      <c r="C405">
        <v>12</v>
      </c>
      <c r="D405">
        <v>13</v>
      </c>
      <c r="E405">
        <v>19</v>
      </c>
      <c r="F405">
        <v>42</v>
      </c>
      <c r="G405">
        <v>46</v>
      </c>
      <c r="H405">
        <v>29</v>
      </c>
    </row>
    <row r="406" spans="1:8" x14ac:dyDescent="0.2">
      <c r="A406" s="1">
        <v>43913</v>
      </c>
      <c r="B406">
        <v>10</v>
      </c>
      <c r="C406">
        <v>30</v>
      </c>
      <c r="D406">
        <v>35</v>
      </c>
      <c r="E406">
        <v>39</v>
      </c>
      <c r="F406">
        <v>42</v>
      </c>
      <c r="G406">
        <v>49</v>
      </c>
      <c r="H406">
        <v>18</v>
      </c>
    </row>
    <row r="407" spans="1:8" x14ac:dyDescent="0.2">
      <c r="A407" s="1">
        <v>43909</v>
      </c>
      <c r="B407">
        <v>8</v>
      </c>
      <c r="C407">
        <v>19</v>
      </c>
      <c r="D407">
        <v>27</v>
      </c>
      <c r="E407">
        <v>33</v>
      </c>
      <c r="F407">
        <v>37</v>
      </c>
      <c r="G407">
        <v>47</v>
      </c>
      <c r="H407">
        <v>18</v>
      </c>
    </row>
    <row r="408" spans="1:8" x14ac:dyDescent="0.2">
      <c r="A408" s="1">
        <v>43906</v>
      </c>
      <c r="B408">
        <v>2</v>
      </c>
      <c r="C408">
        <v>15</v>
      </c>
      <c r="D408">
        <v>19</v>
      </c>
      <c r="E408">
        <v>40</v>
      </c>
      <c r="F408">
        <v>47</v>
      </c>
      <c r="G408">
        <v>48</v>
      </c>
      <c r="H408">
        <v>27</v>
      </c>
    </row>
    <row r="409" spans="1:8" x14ac:dyDescent="0.2">
      <c r="A409" s="1">
        <v>43902</v>
      </c>
      <c r="B409">
        <v>1</v>
      </c>
      <c r="C409">
        <v>3</v>
      </c>
      <c r="D409">
        <v>18</v>
      </c>
      <c r="E409">
        <v>34</v>
      </c>
      <c r="F409">
        <v>36</v>
      </c>
      <c r="G409">
        <v>49</v>
      </c>
      <c r="H409">
        <v>16</v>
      </c>
    </row>
    <row r="410" spans="1:8" x14ac:dyDescent="0.2">
      <c r="A410" s="1">
        <v>43899</v>
      </c>
      <c r="B410">
        <v>4</v>
      </c>
      <c r="C410">
        <v>11</v>
      </c>
      <c r="D410">
        <v>14</v>
      </c>
      <c r="E410">
        <v>22</v>
      </c>
      <c r="F410">
        <v>29</v>
      </c>
      <c r="G410">
        <v>47</v>
      </c>
      <c r="H410">
        <v>6</v>
      </c>
    </row>
    <row r="411" spans="1:8" x14ac:dyDescent="0.2">
      <c r="A411" s="1">
        <v>43895</v>
      </c>
      <c r="B411">
        <v>12</v>
      </c>
      <c r="C411">
        <v>14</v>
      </c>
      <c r="D411">
        <v>30</v>
      </c>
      <c r="E411">
        <v>37</v>
      </c>
      <c r="F411">
        <v>38</v>
      </c>
      <c r="G411">
        <v>40</v>
      </c>
      <c r="H411">
        <v>42</v>
      </c>
    </row>
    <row r="412" spans="1:8" x14ac:dyDescent="0.2">
      <c r="A412" s="1">
        <v>43892</v>
      </c>
      <c r="B412">
        <v>11</v>
      </c>
      <c r="C412">
        <v>37</v>
      </c>
      <c r="D412">
        <v>39</v>
      </c>
      <c r="E412">
        <v>41</v>
      </c>
      <c r="F412">
        <v>42</v>
      </c>
      <c r="G412">
        <v>46</v>
      </c>
      <c r="H412">
        <v>43</v>
      </c>
    </row>
    <row r="413" spans="1:8" x14ac:dyDescent="0.2">
      <c r="A413" s="1">
        <v>43888</v>
      </c>
      <c r="B413">
        <v>10</v>
      </c>
      <c r="C413">
        <v>32</v>
      </c>
      <c r="D413">
        <v>35</v>
      </c>
      <c r="E413">
        <v>36</v>
      </c>
      <c r="F413">
        <v>46</v>
      </c>
      <c r="G413">
        <v>49</v>
      </c>
      <c r="H413">
        <v>40</v>
      </c>
    </row>
    <row r="414" spans="1:8" x14ac:dyDescent="0.2">
      <c r="A414" s="1">
        <v>43885</v>
      </c>
      <c r="B414">
        <v>11</v>
      </c>
      <c r="C414">
        <v>24</v>
      </c>
      <c r="D414">
        <v>26</v>
      </c>
      <c r="E414">
        <v>29</v>
      </c>
      <c r="F414">
        <v>42</v>
      </c>
      <c r="G414">
        <v>47</v>
      </c>
      <c r="H414">
        <v>25</v>
      </c>
    </row>
    <row r="415" spans="1:8" x14ac:dyDescent="0.2">
      <c r="A415" s="1">
        <v>43881</v>
      </c>
      <c r="B415">
        <v>7</v>
      </c>
      <c r="C415">
        <v>19</v>
      </c>
      <c r="D415">
        <v>26</v>
      </c>
      <c r="E415">
        <v>31</v>
      </c>
      <c r="F415">
        <v>34</v>
      </c>
      <c r="G415">
        <v>40</v>
      </c>
      <c r="H415">
        <v>6</v>
      </c>
    </row>
    <row r="416" spans="1:8" x14ac:dyDescent="0.2">
      <c r="A416" s="1">
        <v>43878</v>
      </c>
      <c r="B416">
        <v>17</v>
      </c>
      <c r="C416">
        <v>19</v>
      </c>
      <c r="D416">
        <v>23</v>
      </c>
      <c r="E416">
        <v>30</v>
      </c>
      <c r="F416">
        <v>42</v>
      </c>
      <c r="G416">
        <v>45</v>
      </c>
      <c r="H416">
        <v>13</v>
      </c>
    </row>
    <row r="417" spans="1:8" x14ac:dyDescent="0.2">
      <c r="A417" s="1">
        <v>43874</v>
      </c>
      <c r="B417">
        <v>5</v>
      </c>
      <c r="C417">
        <v>7</v>
      </c>
      <c r="D417">
        <v>19</v>
      </c>
      <c r="E417">
        <v>23</v>
      </c>
      <c r="F417">
        <v>44</v>
      </c>
      <c r="G417">
        <v>48</v>
      </c>
      <c r="H417">
        <v>45</v>
      </c>
    </row>
    <row r="418" spans="1:8" x14ac:dyDescent="0.2">
      <c r="A418" s="1">
        <v>43871</v>
      </c>
      <c r="B418">
        <v>8</v>
      </c>
      <c r="C418">
        <v>12</v>
      </c>
      <c r="D418">
        <v>15</v>
      </c>
      <c r="E418">
        <v>17</v>
      </c>
      <c r="F418">
        <v>32</v>
      </c>
      <c r="G418">
        <v>46</v>
      </c>
      <c r="H418">
        <v>20</v>
      </c>
    </row>
    <row r="419" spans="1:8" x14ac:dyDescent="0.2">
      <c r="A419" s="1">
        <v>43868</v>
      </c>
      <c r="B419">
        <v>10</v>
      </c>
      <c r="C419">
        <v>15</v>
      </c>
      <c r="D419">
        <v>16</v>
      </c>
      <c r="E419">
        <v>21</v>
      </c>
      <c r="F419">
        <v>24</v>
      </c>
      <c r="G419">
        <v>49</v>
      </c>
      <c r="H419">
        <v>2</v>
      </c>
    </row>
    <row r="420" spans="1:8" x14ac:dyDescent="0.2">
      <c r="A420" s="1">
        <v>43864</v>
      </c>
      <c r="B420">
        <v>6</v>
      </c>
      <c r="C420">
        <v>9</v>
      </c>
      <c r="D420">
        <v>23</v>
      </c>
      <c r="E420">
        <v>34</v>
      </c>
      <c r="F420">
        <v>42</v>
      </c>
      <c r="G420">
        <v>49</v>
      </c>
      <c r="H420">
        <v>22</v>
      </c>
    </row>
    <row r="421" spans="1:8" x14ac:dyDescent="0.2">
      <c r="A421" s="1">
        <v>43860</v>
      </c>
      <c r="B421">
        <v>7</v>
      </c>
      <c r="C421">
        <v>20</v>
      </c>
      <c r="D421">
        <v>29</v>
      </c>
      <c r="E421">
        <v>41</v>
      </c>
      <c r="F421">
        <v>47</v>
      </c>
      <c r="G421">
        <v>49</v>
      </c>
      <c r="H421">
        <v>28</v>
      </c>
    </row>
    <row r="422" spans="1:8" x14ac:dyDescent="0.2">
      <c r="A422" s="1">
        <v>43857</v>
      </c>
      <c r="B422">
        <v>3</v>
      </c>
      <c r="C422">
        <v>32</v>
      </c>
      <c r="D422">
        <v>38</v>
      </c>
      <c r="E422">
        <v>43</v>
      </c>
      <c r="F422">
        <v>46</v>
      </c>
      <c r="G422">
        <v>48</v>
      </c>
      <c r="H422">
        <v>34</v>
      </c>
    </row>
    <row r="423" spans="1:8" x14ac:dyDescent="0.2">
      <c r="A423" s="1">
        <v>43853</v>
      </c>
      <c r="B423">
        <v>9</v>
      </c>
      <c r="C423">
        <v>14</v>
      </c>
      <c r="D423">
        <v>36</v>
      </c>
      <c r="E423">
        <v>38</v>
      </c>
      <c r="F423">
        <v>40</v>
      </c>
      <c r="G423">
        <v>47</v>
      </c>
      <c r="H423">
        <v>30</v>
      </c>
    </row>
    <row r="424" spans="1:8" x14ac:dyDescent="0.2">
      <c r="A424" s="1">
        <v>43850</v>
      </c>
      <c r="B424">
        <v>11</v>
      </c>
      <c r="C424">
        <v>18</v>
      </c>
      <c r="D424">
        <v>20</v>
      </c>
      <c r="E424">
        <v>22</v>
      </c>
      <c r="F424">
        <v>27</v>
      </c>
      <c r="G424">
        <v>37</v>
      </c>
      <c r="H424">
        <v>39</v>
      </c>
    </row>
    <row r="425" spans="1:8" x14ac:dyDescent="0.2">
      <c r="A425" s="1">
        <v>43847</v>
      </c>
      <c r="B425">
        <v>1</v>
      </c>
      <c r="C425">
        <v>11</v>
      </c>
      <c r="D425">
        <v>24</v>
      </c>
      <c r="E425">
        <v>28</v>
      </c>
      <c r="F425">
        <v>45</v>
      </c>
      <c r="G425">
        <v>48</v>
      </c>
      <c r="H425">
        <v>23</v>
      </c>
    </row>
    <row r="426" spans="1:8" x14ac:dyDescent="0.2">
      <c r="A426" s="1">
        <v>43843</v>
      </c>
      <c r="B426">
        <v>2</v>
      </c>
      <c r="C426">
        <v>3</v>
      </c>
      <c r="D426">
        <v>4</v>
      </c>
      <c r="E426">
        <v>13</v>
      </c>
      <c r="F426">
        <v>16</v>
      </c>
      <c r="G426">
        <v>33</v>
      </c>
      <c r="H426">
        <v>14</v>
      </c>
    </row>
    <row r="427" spans="1:8" x14ac:dyDescent="0.2">
      <c r="A427" s="1">
        <v>43839</v>
      </c>
      <c r="B427">
        <v>12</v>
      </c>
      <c r="C427">
        <v>24</v>
      </c>
      <c r="D427">
        <v>34</v>
      </c>
      <c r="E427">
        <v>38</v>
      </c>
      <c r="F427">
        <v>46</v>
      </c>
      <c r="G427">
        <v>47</v>
      </c>
      <c r="H427">
        <v>28</v>
      </c>
    </row>
    <row r="428" spans="1:8" x14ac:dyDescent="0.2">
      <c r="A428" s="1">
        <v>43836</v>
      </c>
      <c r="B428">
        <v>2</v>
      </c>
      <c r="C428">
        <v>7</v>
      </c>
      <c r="D428">
        <v>11</v>
      </c>
      <c r="E428">
        <v>15</v>
      </c>
      <c r="F428">
        <v>26</v>
      </c>
      <c r="G428">
        <v>47</v>
      </c>
      <c r="H428">
        <v>33</v>
      </c>
    </row>
    <row r="429" spans="1:8" x14ac:dyDescent="0.2">
      <c r="A429" s="1">
        <v>43833</v>
      </c>
      <c r="B429">
        <v>13</v>
      </c>
      <c r="C429">
        <v>15</v>
      </c>
      <c r="D429">
        <v>21</v>
      </c>
      <c r="E429">
        <v>23</v>
      </c>
      <c r="F429">
        <v>30</v>
      </c>
      <c r="G429">
        <v>35</v>
      </c>
      <c r="H429">
        <v>25</v>
      </c>
    </row>
    <row r="430" spans="1:8" x14ac:dyDescent="0.2">
      <c r="A430" s="1">
        <v>43829</v>
      </c>
      <c r="B430">
        <v>3</v>
      </c>
      <c r="C430">
        <v>12</v>
      </c>
      <c r="D430">
        <v>13</v>
      </c>
      <c r="E430">
        <v>35</v>
      </c>
      <c r="F430">
        <v>36</v>
      </c>
      <c r="G430">
        <v>40</v>
      </c>
      <c r="H430">
        <v>33</v>
      </c>
    </row>
    <row r="431" spans="1:8" x14ac:dyDescent="0.2">
      <c r="A431" s="1">
        <v>43825</v>
      </c>
      <c r="B431">
        <v>8</v>
      </c>
      <c r="C431">
        <v>16</v>
      </c>
      <c r="D431">
        <v>20</v>
      </c>
      <c r="E431">
        <v>24</v>
      </c>
      <c r="F431">
        <v>25</v>
      </c>
      <c r="G431">
        <v>36</v>
      </c>
      <c r="H431">
        <v>13</v>
      </c>
    </row>
    <row r="432" spans="1:8" x14ac:dyDescent="0.2">
      <c r="A432" s="1">
        <v>43822</v>
      </c>
      <c r="B432">
        <v>1</v>
      </c>
      <c r="C432">
        <v>15</v>
      </c>
      <c r="D432">
        <v>35</v>
      </c>
      <c r="E432">
        <v>41</v>
      </c>
      <c r="F432">
        <v>42</v>
      </c>
      <c r="G432">
        <v>43</v>
      </c>
      <c r="H432">
        <v>28</v>
      </c>
    </row>
    <row r="433" spans="1:8" x14ac:dyDescent="0.2">
      <c r="A433" s="1">
        <v>43818</v>
      </c>
      <c r="B433">
        <v>19</v>
      </c>
      <c r="C433">
        <v>21</v>
      </c>
      <c r="D433">
        <v>27</v>
      </c>
      <c r="E433">
        <v>36</v>
      </c>
      <c r="F433">
        <v>40</v>
      </c>
      <c r="G433">
        <v>44</v>
      </c>
      <c r="H433">
        <v>2</v>
      </c>
    </row>
    <row r="434" spans="1:8" x14ac:dyDescent="0.2">
      <c r="A434" s="1">
        <v>43815</v>
      </c>
      <c r="B434">
        <v>4</v>
      </c>
      <c r="C434">
        <v>10</v>
      </c>
      <c r="D434">
        <v>22</v>
      </c>
      <c r="E434">
        <v>23</v>
      </c>
      <c r="F434">
        <v>40</v>
      </c>
      <c r="G434">
        <v>42</v>
      </c>
      <c r="H434">
        <v>7</v>
      </c>
    </row>
    <row r="435" spans="1:8" x14ac:dyDescent="0.2">
      <c r="A435" s="1">
        <v>43811</v>
      </c>
      <c r="B435">
        <v>2</v>
      </c>
      <c r="C435">
        <v>22</v>
      </c>
      <c r="D435">
        <v>29</v>
      </c>
      <c r="E435">
        <v>33</v>
      </c>
      <c r="F435">
        <v>36</v>
      </c>
      <c r="G435">
        <v>45</v>
      </c>
      <c r="H435">
        <v>20</v>
      </c>
    </row>
    <row r="436" spans="1:8" x14ac:dyDescent="0.2">
      <c r="A436" s="1">
        <v>43808</v>
      </c>
      <c r="B436">
        <v>21</v>
      </c>
      <c r="C436">
        <v>22</v>
      </c>
      <c r="D436">
        <v>27</v>
      </c>
      <c r="E436">
        <v>30</v>
      </c>
      <c r="F436">
        <v>39</v>
      </c>
      <c r="G436">
        <v>44</v>
      </c>
      <c r="H436">
        <v>46</v>
      </c>
    </row>
    <row r="437" spans="1:8" x14ac:dyDescent="0.2">
      <c r="A437" s="1">
        <v>43804</v>
      </c>
      <c r="B437">
        <v>2</v>
      </c>
      <c r="C437">
        <v>9</v>
      </c>
      <c r="D437">
        <v>14</v>
      </c>
      <c r="E437">
        <v>26</v>
      </c>
      <c r="F437">
        <v>30</v>
      </c>
      <c r="G437">
        <v>47</v>
      </c>
      <c r="H437">
        <v>34</v>
      </c>
    </row>
    <row r="438" spans="1:8" x14ac:dyDescent="0.2">
      <c r="A438" s="1">
        <v>43801</v>
      </c>
      <c r="B438">
        <v>1</v>
      </c>
      <c r="C438">
        <v>14</v>
      </c>
      <c r="D438">
        <v>15</v>
      </c>
      <c r="E438">
        <v>25</v>
      </c>
      <c r="F438">
        <v>34</v>
      </c>
      <c r="G438">
        <v>35</v>
      </c>
      <c r="H438">
        <v>36</v>
      </c>
    </row>
    <row r="439" spans="1:8" x14ac:dyDescent="0.2">
      <c r="A439" s="1">
        <v>43797</v>
      </c>
      <c r="B439">
        <v>6</v>
      </c>
      <c r="C439">
        <v>30</v>
      </c>
      <c r="D439">
        <v>34</v>
      </c>
      <c r="E439">
        <v>45</v>
      </c>
      <c r="F439">
        <v>46</v>
      </c>
      <c r="G439">
        <v>48</v>
      </c>
      <c r="H439">
        <v>32</v>
      </c>
    </row>
    <row r="440" spans="1:8" x14ac:dyDescent="0.2">
      <c r="A440" s="1">
        <v>43794</v>
      </c>
      <c r="B440">
        <v>3</v>
      </c>
      <c r="C440">
        <v>6</v>
      </c>
      <c r="D440">
        <v>16</v>
      </c>
      <c r="E440">
        <v>35</v>
      </c>
      <c r="F440">
        <v>38</v>
      </c>
      <c r="G440">
        <v>46</v>
      </c>
      <c r="H440">
        <v>23</v>
      </c>
    </row>
    <row r="441" spans="1:8" x14ac:dyDescent="0.2">
      <c r="A441" s="1">
        <v>43790</v>
      </c>
      <c r="B441">
        <v>1</v>
      </c>
      <c r="C441">
        <v>4</v>
      </c>
      <c r="D441">
        <v>16</v>
      </c>
      <c r="E441">
        <v>18</v>
      </c>
      <c r="F441">
        <v>30</v>
      </c>
      <c r="G441">
        <v>32</v>
      </c>
      <c r="H441">
        <v>37</v>
      </c>
    </row>
    <row r="442" spans="1:8" x14ac:dyDescent="0.2">
      <c r="A442" s="1">
        <v>43787</v>
      </c>
      <c r="B442">
        <v>1</v>
      </c>
      <c r="C442">
        <v>16</v>
      </c>
      <c r="D442">
        <v>17</v>
      </c>
      <c r="E442">
        <v>20</v>
      </c>
      <c r="F442">
        <v>21</v>
      </c>
      <c r="G442">
        <v>30</v>
      </c>
      <c r="H442">
        <v>29</v>
      </c>
    </row>
    <row r="443" spans="1:8" x14ac:dyDescent="0.2">
      <c r="A443" s="1">
        <v>43783</v>
      </c>
      <c r="B443">
        <v>2</v>
      </c>
      <c r="C443">
        <v>9</v>
      </c>
      <c r="D443">
        <v>16</v>
      </c>
      <c r="E443">
        <v>21</v>
      </c>
      <c r="F443">
        <v>36</v>
      </c>
      <c r="G443">
        <v>49</v>
      </c>
      <c r="H443">
        <v>31</v>
      </c>
    </row>
    <row r="444" spans="1:8" x14ac:dyDescent="0.2">
      <c r="A444" s="1">
        <v>43780</v>
      </c>
      <c r="B444">
        <v>3</v>
      </c>
      <c r="C444">
        <v>20</v>
      </c>
      <c r="D444">
        <v>29</v>
      </c>
      <c r="E444">
        <v>30</v>
      </c>
      <c r="F444">
        <v>39</v>
      </c>
      <c r="G444">
        <v>41</v>
      </c>
      <c r="H444">
        <v>6</v>
      </c>
    </row>
    <row r="445" spans="1:8" x14ac:dyDescent="0.2">
      <c r="A445" s="1">
        <v>43776</v>
      </c>
      <c r="B445">
        <v>5</v>
      </c>
      <c r="C445">
        <v>26</v>
      </c>
      <c r="D445">
        <v>28</v>
      </c>
      <c r="E445">
        <v>30</v>
      </c>
      <c r="F445">
        <v>34</v>
      </c>
      <c r="G445">
        <v>46</v>
      </c>
      <c r="H445">
        <v>42</v>
      </c>
    </row>
    <row r="446" spans="1:8" x14ac:dyDescent="0.2">
      <c r="A446" s="1">
        <v>43773</v>
      </c>
      <c r="B446">
        <v>3</v>
      </c>
      <c r="C446">
        <v>8</v>
      </c>
      <c r="D446">
        <v>9</v>
      </c>
      <c r="E446">
        <v>38</v>
      </c>
      <c r="F446">
        <v>41</v>
      </c>
      <c r="G446">
        <v>44</v>
      </c>
      <c r="H446">
        <v>34</v>
      </c>
    </row>
    <row r="447" spans="1:8" x14ac:dyDescent="0.2">
      <c r="A447" s="1">
        <v>43769</v>
      </c>
      <c r="B447">
        <v>13</v>
      </c>
      <c r="C447">
        <v>30</v>
      </c>
      <c r="D447">
        <v>33</v>
      </c>
      <c r="E447">
        <v>36</v>
      </c>
      <c r="F447">
        <v>44</v>
      </c>
      <c r="G447">
        <v>47</v>
      </c>
      <c r="H447">
        <v>14</v>
      </c>
    </row>
    <row r="448" spans="1:8" x14ac:dyDescent="0.2">
      <c r="A448" s="1">
        <v>43766</v>
      </c>
      <c r="B448">
        <v>5</v>
      </c>
      <c r="C448">
        <v>19</v>
      </c>
      <c r="D448">
        <v>20</v>
      </c>
      <c r="E448">
        <v>27</v>
      </c>
      <c r="F448">
        <v>34</v>
      </c>
      <c r="G448">
        <v>36</v>
      </c>
      <c r="H448">
        <v>24</v>
      </c>
    </row>
    <row r="449" spans="1:8" x14ac:dyDescent="0.2">
      <c r="A449" s="1">
        <v>43762</v>
      </c>
      <c r="B449">
        <v>14</v>
      </c>
      <c r="C449">
        <v>24</v>
      </c>
      <c r="D449">
        <v>25</v>
      </c>
      <c r="E449">
        <v>29</v>
      </c>
      <c r="F449">
        <v>43</v>
      </c>
      <c r="G449">
        <v>44</v>
      </c>
      <c r="H449">
        <v>7</v>
      </c>
    </row>
    <row r="450" spans="1:8" x14ac:dyDescent="0.2">
      <c r="A450" s="1">
        <v>43759</v>
      </c>
      <c r="B450">
        <v>5</v>
      </c>
      <c r="C450">
        <v>13</v>
      </c>
      <c r="D450">
        <v>28</v>
      </c>
      <c r="E450">
        <v>38</v>
      </c>
      <c r="F450">
        <v>47</v>
      </c>
      <c r="G450">
        <v>48</v>
      </c>
      <c r="H450">
        <v>40</v>
      </c>
    </row>
    <row r="451" spans="1:8" x14ac:dyDescent="0.2">
      <c r="A451" s="1">
        <v>43755</v>
      </c>
      <c r="B451">
        <v>2</v>
      </c>
      <c r="C451">
        <v>35</v>
      </c>
      <c r="D451">
        <v>37</v>
      </c>
      <c r="E451">
        <v>42</v>
      </c>
      <c r="F451">
        <v>43</v>
      </c>
      <c r="G451">
        <v>47</v>
      </c>
      <c r="H451">
        <v>44</v>
      </c>
    </row>
    <row r="452" spans="1:8" x14ac:dyDescent="0.2">
      <c r="A452" s="1">
        <v>43752</v>
      </c>
      <c r="B452">
        <v>4</v>
      </c>
      <c r="C452">
        <v>5</v>
      </c>
      <c r="D452">
        <v>14</v>
      </c>
      <c r="E452">
        <v>25</v>
      </c>
      <c r="F452">
        <v>26</v>
      </c>
      <c r="G452">
        <v>45</v>
      </c>
      <c r="H452">
        <v>29</v>
      </c>
    </row>
    <row r="453" spans="1:8" x14ac:dyDescent="0.2">
      <c r="A453" s="1">
        <v>43748</v>
      </c>
      <c r="B453">
        <v>4</v>
      </c>
      <c r="C453">
        <v>18</v>
      </c>
      <c r="D453">
        <v>26</v>
      </c>
      <c r="E453">
        <v>32</v>
      </c>
      <c r="F453">
        <v>34</v>
      </c>
      <c r="G453">
        <v>45</v>
      </c>
      <c r="H453">
        <v>33</v>
      </c>
    </row>
    <row r="454" spans="1:8" x14ac:dyDescent="0.2">
      <c r="A454" s="1">
        <v>43745</v>
      </c>
      <c r="B454">
        <v>12</v>
      </c>
      <c r="C454">
        <v>13</v>
      </c>
      <c r="D454">
        <v>26</v>
      </c>
      <c r="E454">
        <v>36</v>
      </c>
      <c r="F454">
        <v>41</v>
      </c>
      <c r="G454">
        <v>46</v>
      </c>
      <c r="H454">
        <v>5</v>
      </c>
    </row>
    <row r="455" spans="1:8" x14ac:dyDescent="0.2">
      <c r="A455" s="1">
        <v>43741</v>
      </c>
      <c r="B455">
        <v>1</v>
      </c>
      <c r="C455">
        <v>12</v>
      </c>
      <c r="D455">
        <v>24</v>
      </c>
      <c r="E455">
        <v>45</v>
      </c>
      <c r="F455">
        <v>46</v>
      </c>
      <c r="G455">
        <v>48</v>
      </c>
      <c r="H455">
        <v>29</v>
      </c>
    </row>
    <row r="456" spans="1:8" x14ac:dyDescent="0.2">
      <c r="A456" s="1">
        <v>43738</v>
      </c>
      <c r="B456">
        <v>10</v>
      </c>
      <c r="C456">
        <v>13</v>
      </c>
      <c r="D456">
        <v>16</v>
      </c>
      <c r="E456">
        <v>38</v>
      </c>
      <c r="F456">
        <v>42</v>
      </c>
      <c r="G456">
        <v>47</v>
      </c>
      <c r="H456">
        <v>11</v>
      </c>
    </row>
    <row r="457" spans="1:8" x14ac:dyDescent="0.2">
      <c r="A457" s="1">
        <v>43734</v>
      </c>
      <c r="B457">
        <v>9</v>
      </c>
      <c r="C457">
        <v>19</v>
      </c>
      <c r="D457">
        <v>30</v>
      </c>
      <c r="E457">
        <v>34</v>
      </c>
      <c r="F457">
        <v>35</v>
      </c>
      <c r="G457">
        <v>46</v>
      </c>
      <c r="H457">
        <v>49</v>
      </c>
    </row>
    <row r="458" spans="1:8" x14ac:dyDescent="0.2">
      <c r="A458" s="1">
        <v>43731</v>
      </c>
      <c r="B458">
        <v>9</v>
      </c>
      <c r="C458">
        <v>10</v>
      </c>
      <c r="D458">
        <v>25</v>
      </c>
      <c r="E458">
        <v>29</v>
      </c>
      <c r="F458">
        <v>41</v>
      </c>
      <c r="G458">
        <v>44</v>
      </c>
      <c r="H458">
        <v>43</v>
      </c>
    </row>
    <row r="459" spans="1:8" x14ac:dyDescent="0.2">
      <c r="A459" s="1">
        <v>43727</v>
      </c>
      <c r="B459">
        <v>14</v>
      </c>
      <c r="C459">
        <v>22</v>
      </c>
      <c r="D459">
        <v>24</v>
      </c>
      <c r="E459">
        <v>31</v>
      </c>
      <c r="F459">
        <v>45</v>
      </c>
      <c r="G459">
        <v>47</v>
      </c>
      <c r="H459">
        <v>29</v>
      </c>
    </row>
    <row r="460" spans="1:8" x14ac:dyDescent="0.2">
      <c r="A460" s="1">
        <v>43724</v>
      </c>
      <c r="B460">
        <v>9</v>
      </c>
      <c r="C460">
        <v>17</v>
      </c>
      <c r="D460">
        <v>29</v>
      </c>
      <c r="E460">
        <v>32</v>
      </c>
      <c r="F460">
        <v>36</v>
      </c>
      <c r="G460">
        <v>40</v>
      </c>
      <c r="H460">
        <v>30</v>
      </c>
    </row>
    <row r="461" spans="1:8" x14ac:dyDescent="0.2">
      <c r="A461" s="1">
        <v>43720</v>
      </c>
      <c r="B461">
        <v>7</v>
      </c>
      <c r="C461">
        <v>10</v>
      </c>
      <c r="D461">
        <v>30</v>
      </c>
      <c r="E461">
        <v>33</v>
      </c>
      <c r="F461">
        <v>44</v>
      </c>
      <c r="G461">
        <v>45</v>
      </c>
      <c r="H461">
        <v>46</v>
      </c>
    </row>
    <row r="462" spans="1:8" x14ac:dyDescent="0.2">
      <c r="A462" s="1">
        <v>43717</v>
      </c>
      <c r="B462">
        <v>10</v>
      </c>
      <c r="C462">
        <v>19</v>
      </c>
      <c r="D462">
        <v>25</v>
      </c>
      <c r="E462">
        <v>36</v>
      </c>
      <c r="F462">
        <v>44</v>
      </c>
      <c r="G462">
        <v>49</v>
      </c>
      <c r="H462">
        <v>27</v>
      </c>
    </row>
    <row r="463" spans="1:8" x14ac:dyDescent="0.2">
      <c r="A463" s="1">
        <v>43713</v>
      </c>
      <c r="B463">
        <v>17</v>
      </c>
      <c r="C463">
        <v>18</v>
      </c>
      <c r="D463">
        <v>27</v>
      </c>
      <c r="E463">
        <v>42</v>
      </c>
      <c r="F463">
        <v>47</v>
      </c>
      <c r="G463">
        <v>48</v>
      </c>
      <c r="H463">
        <v>37</v>
      </c>
    </row>
    <row r="464" spans="1:8" x14ac:dyDescent="0.2">
      <c r="A464" s="1">
        <v>43710</v>
      </c>
      <c r="B464">
        <v>1</v>
      </c>
      <c r="C464">
        <v>5</v>
      </c>
      <c r="D464">
        <v>18</v>
      </c>
      <c r="E464">
        <v>20</v>
      </c>
      <c r="F464">
        <v>33</v>
      </c>
      <c r="G464">
        <v>44</v>
      </c>
      <c r="H464">
        <v>48</v>
      </c>
    </row>
    <row r="465" spans="1:8" x14ac:dyDescent="0.2">
      <c r="A465" s="1">
        <v>43706</v>
      </c>
      <c r="B465">
        <v>6</v>
      </c>
      <c r="C465">
        <v>22</v>
      </c>
      <c r="D465">
        <v>33</v>
      </c>
      <c r="E465">
        <v>40</v>
      </c>
      <c r="F465">
        <v>45</v>
      </c>
      <c r="G465">
        <v>47</v>
      </c>
      <c r="H465">
        <v>49</v>
      </c>
    </row>
    <row r="466" spans="1:8" x14ac:dyDescent="0.2">
      <c r="A466" s="1">
        <v>43703</v>
      </c>
      <c r="B466">
        <v>7</v>
      </c>
      <c r="C466">
        <v>18</v>
      </c>
      <c r="D466">
        <v>23</v>
      </c>
      <c r="E466">
        <v>40</v>
      </c>
      <c r="F466">
        <v>44</v>
      </c>
      <c r="G466">
        <v>48</v>
      </c>
      <c r="H466">
        <v>35</v>
      </c>
    </row>
    <row r="467" spans="1:8" x14ac:dyDescent="0.2">
      <c r="A467" s="1">
        <v>43699</v>
      </c>
      <c r="B467">
        <v>1</v>
      </c>
      <c r="C467">
        <v>14</v>
      </c>
      <c r="D467">
        <v>25</v>
      </c>
      <c r="E467">
        <v>28</v>
      </c>
      <c r="F467">
        <v>29</v>
      </c>
      <c r="G467">
        <v>38</v>
      </c>
      <c r="H467">
        <v>31</v>
      </c>
    </row>
    <row r="468" spans="1:8" x14ac:dyDescent="0.2">
      <c r="A468" s="1">
        <v>43696</v>
      </c>
      <c r="B468">
        <v>2</v>
      </c>
      <c r="C468">
        <v>6</v>
      </c>
      <c r="D468">
        <v>19</v>
      </c>
      <c r="E468">
        <v>20</v>
      </c>
      <c r="F468">
        <v>26</v>
      </c>
      <c r="G468">
        <v>45</v>
      </c>
      <c r="H468">
        <v>30</v>
      </c>
    </row>
    <row r="469" spans="1:8" x14ac:dyDescent="0.2">
      <c r="A469" s="1">
        <v>43692</v>
      </c>
      <c r="B469">
        <v>3</v>
      </c>
      <c r="C469">
        <v>11</v>
      </c>
      <c r="D469">
        <v>27</v>
      </c>
      <c r="E469">
        <v>29</v>
      </c>
      <c r="F469">
        <v>40</v>
      </c>
      <c r="G469">
        <v>42</v>
      </c>
      <c r="H469">
        <v>1</v>
      </c>
    </row>
    <row r="470" spans="1:8" x14ac:dyDescent="0.2">
      <c r="A470" s="1">
        <v>43689</v>
      </c>
      <c r="B470">
        <v>33</v>
      </c>
      <c r="C470">
        <v>34</v>
      </c>
      <c r="D470">
        <v>36</v>
      </c>
      <c r="E470">
        <v>37</v>
      </c>
      <c r="F470">
        <v>44</v>
      </c>
      <c r="G470">
        <v>49</v>
      </c>
      <c r="H470">
        <v>16</v>
      </c>
    </row>
    <row r="471" spans="1:8" x14ac:dyDescent="0.2">
      <c r="A471" s="1">
        <v>43685</v>
      </c>
      <c r="B471">
        <v>1</v>
      </c>
      <c r="C471">
        <v>4</v>
      </c>
      <c r="D471">
        <v>5</v>
      </c>
      <c r="E471">
        <v>22</v>
      </c>
      <c r="F471">
        <v>27</v>
      </c>
      <c r="G471">
        <v>34</v>
      </c>
      <c r="H471">
        <v>41</v>
      </c>
    </row>
    <row r="472" spans="1:8" x14ac:dyDescent="0.2">
      <c r="A472" s="1">
        <v>43682</v>
      </c>
      <c r="B472">
        <v>4</v>
      </c>
      <c r="C472">
        <v>15</v>
      </c>
      <c r="D472">
        <v>16</v>
      </c>
      <c r="E472">
        <v>20</v>
      </c>
      <c r="F472">
        <v>21</v>
      </c>
      <c r="G472">
        <v>26</v>
      </c>
      <c r="H472">
        <v>18</v>
      </c>
    </row>
    <row r="473" spans="1:8" x14ac:dyDescent="0.2">
      <c r="A473" s="1">
        <v>43678</v>
      </c>
      <c r="B473">
        <v>3</v>
      </c>
      <c r="C473">
        <v>8</v>
      </c>
      <c r="D473">
        <v>22</v>
      </c>
      <c r="E473">
        <v>30</v>
      </c>
      <c r="F473">
        <v>31</v>
      </c>
      <c r="G473">
        <v>48</v>
      </c>
      <c r="H473">
        <v>42</v>
      </c>
    </row>
    <row r="474" spans="1:8" x14ac:dyDescent="0.2">
      <c r="A474" s="1">
        <v>43675</v>
      </c>
      <c r="B474">
        <v>4</v>
      </c>
      <c r="C474">
        <v>10</v>
      </c>
      <c r="D474">
        <v>24</v>
      </c>
      <c r="E474">
        <v>32</v>
      </c>
      <c r="F474">
        <v>37</v>
      </c>
      <c r="G474">
        <v>44</v>
      </c>
      <c r="H474">
        <v>31</v>
      </c>
    </row>
    <row r="475" spans="1:8" x14ac:dyDescent="0.2">
      <c r="A475" s="1">
        <v>43671</v>
      </c>
      <c r="B475">
        <v>4</v>
      </c>
      <c r="C475">
        <v>5</v>
      </c>
      <c r="D475">
        <v>29</v>
      </c>
      <c r="E475">
        <v>30</v>
      </c>
      <c r="F475">
        <v>31</v>
      </c>
      <c r="G475">
        <v>33</v>
      </c>
      <c r="H475">
        <v>41</v>
      </c>
    </row>
    <row r="476" spans="1:8" x14ac:dyDescent="0.2">
      <c r="A476" s="1">
        <v>43668</v>
      </c>
      <c r="B476">
        <v>7</v>
      </c>
      <c r="C476">
        <v>23</v>
      </c>
      <c r="D476">
        <v>30</v>
      </c>
      <c r="E476">
        <v>34</v>
      </c>
      <c r="F476">
        <v>43</v>
      </c>
      <c r="G476">
        <v>47</v>
      </c>
      <c r="H476">
        <v>2</v>
      </c>
    </row>
    <row r="477" spans="1:8" x14ac:dyDescent="0.2">
      <c r="A477" s="1">
        <v>43664</v>
      </c>
      <c r="B477">
        <v>14</v>
      </c>
      <c r="C477">
        <v>20</v>
      </c>
      <c r="D477">
        <v>25</v>
      </c>
      <c r="E477">
        <v>28</v>
      </c>
      <c r="F477">
        <v>31</v>
      </c>
      <c r="G477">
        <v>42</v>
      </c>
      <c r="H477">
        <v>9</v>
      </c>
    </row>
    <row r="478" spans="1:8" x14ac:dyDescent="0.2">
      <c r="A478" s="1">
        <v>43661</v>
      </c>
      <c r="B478">
        <v>4</v>
      </c>
      <c r="C478">
        <v>15</v>
      </c>
      <c r="D478">
        <v>30</v>
      </c>
      <c r="E478">
        <v>35</v>
      </c>
      <c r="F478">
        <v>36</v>
      </c>
      <c r="G478">
        <v>43</v>
      </c>
      <c r="H478">
        <v>24</v>
      </c>
    </row>
    <row r="479" spans="1:8" x14ac:dyDescent="0.2">
      <c r="A479" s="1">
        <v>43657</v>
      </c>
      <c r="B479">
        <v>6</v>
      </c>
      <c r="C479">
        <v>12</v>
      </c>
      <c r="D479">
        <v>28</v>
      </c>
      <c r="E479">
        <v>43</v>
      </c>
      <c r="F479">
        <v>45</v>
      </c>
      <c r="G479">
        <v>47</v>
      </c>
      <c r="H479">
        <v>16</v>
      </c>
    </row>
    <row r="480" spans="1:8" x14ac:dyDescent="0.2">
      <c r="A480" s="1">
        <v>43654</v>
      </c>
      <c r="B480">
        <v>9</v>
      </c>
      <c r="C480">
        <v>11</v>
      </c>
      <c r="D480">
        <v>22</v>
      </c>
      <c r="E480">
        <v>23</v>
      </c>
      <c r="F480">
        <v>24</v>
      </c>
      <c r="G480">
        <v>29</v>
      </c>
      <c r="H480">
        <v>49</v>
      </c>
    </row>
    <row r="481" spans="1:8" x14ac:dyDescent="0.2">
      <c r="A481" s="1">
        <v>43650</v>
      </c>
      <c r="B481">
        <v>7</v>
      </c>
      <c r="C481">
        <v>9</v>
      </c>
      <c r="D481">
        <v>21</v>
      </c>
      <c r="E481">
        <v>34</v>
      </c>
      <c r="F481">
        <v>36</v>
      </c>
      <c r="G481">
        <v>45</v>
      </c>
      <c r="H481">
        <v>27</v>
      </c>
    </row>
    <row r="482" spans="1:8" x14ac:dyDescent="0.2">
      <c r="A482" s="1">
        <v>43647</v>
      </c>
      <c r="B482">
        <v>5</v>
      </c>
      <c r="C482">
        <v>7</v>
      </c>
      <c r="D482">
        <v>27</v>
      </c>
      <c r="E482">
        <v>30</v>
      </c>
      <c r="F482">
        <v>38</v>
      </c>
      <c r="G482">
        <v>48</v>
      </c>
      <c r="H482">
        <v>15</v>
      </c>
    </row>
    <row r="483" spans="1:8" x14ac:dyDescent="0.2">
      <c r="A483" s="1">
        <v>43643</v>
      </c>
      <c r="B483">
        <v>1</v>
      </c>
      <c r="C483">
        <v>4</v>
      </c>
      <c r="D483">
        <v>25</v>
      </c>
      <c r="E483">
        <v>36</v>
      </c>
      <c r="F483">
        <v>41</v>
      </c>
      <c r="G483">
        <v>47</v>
      </c>
      <c r="H483">
        <v>26</v>
      </c>
    </row>
    <row r="484" spans="1:8" x14ac:dyDescent="0.2">
      <c r="A484" s="1">
        <v>43640</v>
      </c>
      <c r="B484">
        <v>8</v>
      </c>
      <c r="C484">
        <v>17</v>
      </c>
      <c r="D484">
        <v>25</v>
      </c>
      <c r="E484">
        <v>32</v>
      </c>
      <c r="F484">
        <v>41</v>
      </c>
      <c r="G484">
        <v>48</v>
      </c>
      <c r="H484">
        <v>21</v>
      </c>
    </row>
    <row r="485" spans="1:8" x14ac:dyDescent="0.2">
      <c r="A485" s="1">
        <v>43636</v>
      </c>
      <c r="B485">
        <v>8</v>
      </c>
      <c r="C485">
        <v>19</v>
      </c>
      <c r="D485">
        <v>25</v>
      </c>
      <c r="E485">
        <v>26</v>
      </c>
      <c r="F485">
        <v>29</v>
      </c>
      <c r="G485">
        <v>34</v>
      </c>
      <c r="H485">
        <v>7</v>
      </c>
    </row>
    <row r="486" spans="1:8" x14ac:dyDescent="0.2">
      <c r="A486" s="1">
        <v>43633</v>
      </c>
      <c r="B486">
        <v>6</v>
      </c>
      <c r="C486">
        <v>20</v>
      </c>
      <c r="D486">
        <v>29</v>
      </c>
      <c r="E486">
        <v>36</v>
      </c>
      <c r="F486">
        <v>40</v>
      </c>
      <c r="G486">
        <v>43</v>
      </c>
      <c r="H486">
        <v>10</v>
      </c>
    </row>
    <row r="487" spans="1:8" x14ac:dyDescent="0.2">
      <c r="A487" s="1">
        <v>43629</v>
      </c>
      <c r="B487">
        <v>1</v>
      </c>
      <c r="C487">
        <v>3</v>
      </c>
      <c r="D487">
        <v>10</v>
      </c>
      <c r="E487">
        <v>14</v>
      </c>
      <c r="F487">
        <v>22</v>
      </c>
      <c r="G487">
        <v>39</v>
      </c>
      <c r="H487">
        <v>24</v>
      </c>
    </row>
    <row r="488" spans="1:8" x14ac:dyDescent="0.2">
      <c r="A488" s="1">
        <v>43626</v>
      </c>
      <c r="B488">
        <v>10</v>
      </c>
      <c r="C488">
        <v>11</v>
      </c>
      <c r="D488">
        <v>15</v>
      </c>
      <c r="E488">
        <v>17</v>
      </c>
      <c r="F488">
        <v>19</v>
      </c>
      <c r="G488">
        <v>46</v>
      </c>
      <c r="H488">
        <v>4</v>
      </c>
    </row>
    <row r="489" spans="1:8" x14ac:dyDescent="0.2">
      <c r="A489" s="1">
        <v>43622</v>
      </c>
      <c r="B489">
        <v>21</v>
      </c>
      <c r="C489">
        <v>24</v>
      </c>
      <c r="D489">
        <v>28</v>
      </c>
      <c r="E489">
        <v>31</v>
      </c>
      <c r="F489">
        <v>32</v>
      </c>
      <c r="G489">
        <v>38</v>
      </c>
      <c r="H489">
        <v>4</v>
      </c>
    </row>
    <row r="490" spans="1:8" x14ac:dyDescent="0.2">
      <c r="A490" s="1">
        <v>43619</v>
      </c>
      <c r="B490">
        <v>3</v>
      </c>
      <c r="C490">
        <v>4</v>
      </c>
      <c r="D490">
        <v>12</v>
      </c>
      <c r="E490">
        <v>19</v>
      </c>
      <c r="F490">
        <v>27</v>
      </c>
      <c r="G490">
        <v>30</v>
      </c>
      <c r="H490">
        <v>31</v>
      </c>
    </row>
    <row r="491" spans="1:8" x14ac:dyDescent="0.2">
      <c r="A491" s="1">
        <v>43615</v>
      </c>
      <c r="B491">
        <v>4</v>
      </c>
      <c r="C491">
        <v>12</v>
      </c>
      <c r="D491">
        <v>21</v>
      </c>
      <c r="E491">
        <v>30</v>
      </c>
      <c r="F491">
        <v>31</v>
      </c>
      <c r="G491">
        <v>44</v>
      </c>
      <c r="H491">
        <v>3</v>
      </c>
    </row>
    <row r="492" spans="1:8" x14ac:dyDescent="0.2">
      <c r="A492" s="1">
        <v>43612</v>
      </c>
      <c r="B492">
        <v>5</v>
      </c>
      <c r="C492">
        <v>9</v>
      </c>
      <c r="D492">
        <v>17</v>
      </c>
      <c r="E492">
        <v>21</v>
      </c>
      <c r="F492">
        <v>22</v>
      </c>
      <c r="G492">
        <v>32</v>
      </c>
      <c r="H492">
        <v>34</v>
      </c>
    </row>
    <row r="493" spans="1:8" x14ac:dyDescent="0.2">
      <c r="A493" s="1">
        <v>43608</v>
      </c>
      <c r="B493">
        <v>12</v>
      </c>
      <c r="C493">
        <v>20</v>
      </c>
      <c r="D493">
        <v>22</v>
      </c>
      <c r="E493">
        <v>31</v>
      </c>
      <c r="F493">
        <v>32</v>
      </c>
      <c r="G493">
        <v>46</v>
      </c>
      <c r="H493">
        <v>38</v>
      </c>
    </row>
    <row r="494" spans="1:8" x14ac:dyDescent="0.2">
      <c r="A494" s="1">
        <v>43605</v>
      </c>
      <c r="B494">
        <v>7</v>
      </c>
      <c r="C494">
        <v>18</v>
      </c>
      <c r="D494">
        <v>24</v>
      </c>
      <c r="E494">
        <v>46</v>
      </c>
      <c r="F494">
        <v>47</v>
      </c>
      <c r="G494">
        <v>48</v>
      </c>
      <c r="H494">
        <v>10</v>
      </c>
    </row>
    <row r="495" spans="1:8" x14ac:dyDescent="0.2">
      <c r="A495" s="1">
        <v>43601</v>
      </c>
      <c r="B495">
        <v>5</v>
      </c>
      <c r="C495">
        <v>7</v>
      </c>
      <c r="D495">
        <v>9</v>
      </c>
      <c r="E495">
        <v>15</v>
      </c>
      <c r="F495">
        <v>38</v>
      </c>
      <c r="G495">
        <v>45</v>
      </c>
      <c r="H495">
        <v>29</v>
      </c>
    </row>
    <row r="496" spans="1:8" x14ac:dyDescent="0.2">
      <c r="A496" s="1">
        <v>43598</v>
      </c>
      <c r="B496">
        <v>2</v>
      </c>
      <c r="C496">
        <v>3</v>
      </c>
      <c r="D496">
        <v>19</v>
      </c>
      <c r="E496">
        <v>21</v>
      </c>
      <c r="F496">
        <v>23</v>
      </c>
      <c r="G496">
        <v>31</v>
      </c>
      <c r="H496">
        <v>1</v>
      </c>
    </row>
    <row r="497" spans="1:8" x14ac:dyDescent="0.2">
      <c r="A497" s="1">
        <v>43594</v>
      </c>
      <c r="B497">
        <v>5</v>
      </c>
      <c r="C497">
        <v>10</v>
      </c>
      <c r="D497">
        <v>11</v>
      </c>
      <c r="E497">
        <v>18</v>
      </c>
      <c r="F497">
        <v>26</v>
      </c>
      <c r="G497">
        <v>49</v>
      </c>
      <c r="H497">
        <v>4</v>
      </c>
    </row>
    <row r="498" spans="1:8" x14ac:dyDescent="0.2">
      <c r="A498" s="1">
        <v>43591</v>
      </c>
      <c r="B498">
        <v>5</v>
      </c>
      <c r="C498">
        <v>6</v>
      </c>
      <c r="D498">
        <v>13</v>
      </c>
      <c r="E498">
        <v>26</v>
      </c>
      <c r="F498">
        <v>32</v>
      </c>
      <c r="G498">
        <v>41</v>
      </c>
      <c r="H498">
        <v>18</v>
      </c>
    </row>
    <row r="499" spans="1:8" x14ac:dyDescent="0.2">
      <c r="A499" s="1">
        <v>43587</v>
      </c>
      <c r="B499">
        <v>10</v>
      </c>
      <c r="C499">
        <v>15</v>
      </c>
      <c r="D499">
        <v>24</v>
      </c>
      <c r="E499">
        <v>35</v>
      </c>
      <c r="F499">
        <v>42</v>
      </c>
      <c r="G499">
        <v>47</v>
      </c>
      <c r="H499">
        <v>11</v>
      </c>
    </row>
    <row r="500" spans="1:8" x14ac:dyDescent="0.2">
      <c r="A500" s="1">
        <v>43584</v>
      </c>
      <c r="B500">
        <v>4</v>
      </c>
      <c r="C500">
        <v>10</v>
      </c>
      <c r="D500">
        <v>26</v>
      </c>
      <c r="E500">
        <v>31</v>
      </c>
      <c r="F500">
        <v>39</v>
      </c>
      <c r="G500">
        <v>48</v>
      </c>
      <c r="H500">
        <v>19</v>
      </c>
    </row>
    <row r="501" spans="1:8" x14ac:dyDescent="0.2">
      <c r="A501" s="1">
        <v>43580</v>
      </c>
      <c r="B501">
        <v>1</v>
      </c>
      <c r="C501">
        <v>7</v>
      </c>
      <c r="D501">
        <v>14</v>
      </c>
      <c r="E501">
        <v>15</v>
      </c>
      <c r="F501">
        <v>32</v>
      </c>
      <c r="G501">
        <v>38</v>
      </c>
      <c r="H501">
        <v>39</v>
      </c>
    </row>
    <row r="502" spans="1:8" x14ac:dyDescent="0.2">
      <c r="A502" s="1">
        <v>43577</v>
      </c>
      <c r="B502">
        <v>12</v>
      </c>
      <c r="C502">
        <v>13</v>
      </c>
      <c r="D502">
        <v>19</v>
      </c>
      <c r="E502">
        <v>23</v>
      </c>
      <c r="F502">
        <v>24</v>
      </c>
      <c r="G502">
        <v>44</v>
      </c>
      <c r="H502">
        <v>14</v>
      </c>
    </row>
    <row r="503" spans="1:8" x14ac:dyDescent="0.2">
      <c r="A503" s="1">
        <v>43573</v>
      </c>
      <c r="B503">
        <v>6</v>
      </c>
      <c r="C503">
        <v>15</v>
      </c>
      <c r="D503">
        <v>28</v>
      </c>
      <c r="E503">
        <v>33</v>
      </c>
      <c r="F503">
        <v>45</v>
      </c>
      <c r="G503">
        <v>47</v>
      </c>
      <c r="H503">
        <v>43</v>
      </c>
    </row>
    <row r="504" spans="1:8" x14ac:dyDescent="0.2">
      <c r="A504" s="1">
        <v>43570</v>
      </c>
      <c r="B504">
        <v>8</v>
      </c>
      <c r="C504">
        <v>19</v>
      </c>
      <c r="D504">
        <v>25</v>
      </c>
      <c r="E504">
        <v>34</v>
      </c>
      <c r="F504">
        <v>35</v>
      </c>
      <c r="G504">
        <v>47</v>
      </c>
      <c r="H504">
        <v>30</v>
      </c>
    </row>
    <row r="505" spans="1:8" x14ac:dyDescent="0.2">
      <c r="A505" s="1">
        <v>43566</v>
      </c>
      <c r="B505">
        <v>5</v>
      </c>
      <c r="C505">
        <v>12</v>
      </c>
      <c r="D505">
        <v>13</v>
      </c>
      <c r="E505">
        <v>17</v>
      </c>
      <c r="F505">
        <v>29</v>
      </c>
      <c r="G505">
        <v>47</v>
      </c>
      <c r="H505">
        <v>4</v>
      </c>
    </row>
    <row r="506" spans="1:8" x14ac:dyDescent="0.2">
      <c r="A506" s="1">
        <v>43563</v>
      </c>
      <c r="B506">
        <v>9</v>
      </c>
      <c r="C506">
        <v>19</v>
      </c>
      <c r="D506">
        <v>20</v>
      </c>
      <c r="E506">
        <v>24</v>
      </c>
      <c r="F506">
        <v>28</v>
      </c>
      <c r="G506">
        <v>49</v>
      </c>
      <c r="H506">
        <v>36</v>
      </c>
    </row>
    <row r="507" spans="1:8" x14ac:dyDescent="0.2">
      <c r="A507" s="1">
        <v>43559</v>
      </c>
      <c r="B507">
        <v>4</v>
      </c>
      <c r="C507">
        <v>17</v>
      </c>
      <c r="D507">
        <v>20</v>
      </c>
      <c r="E507">
        <v>21</v>
      </c>
      <c r="F507">
        <v>33</v>
      </c>
      <c r="G507">
        <v>39</v>
      </c>
      <c r="H507">
        <v>27</v>
      </c>
    </row>
    <row r="508" spans="1:8" x14ac:dyDescent="0.2">
      <c r="A508" s="1">
        <v>43556</v>
      </c>
      <c r="B508">
        <v>7</v>
      </c>
      <c r="C508">
        <v>12</v>
      </c>
      <c r="D508">
        <v>22</v>
      </c>
      <c r="E508">
        <v>30</v>
      </c>
      <c r="F508">
        <v>31</v>
      </c>
      <c r="G508">
        <v>36</v>
      </c>
      <c r="H508">
        <v>2</v>
      </c>
    </row>
    <row r="509" spans="1:8" x14ac:dyDescent="0.2">
      <c r="A509" s="1">
        <v>43552</v>
      </c>
      <c r="B509">
        <v>2</v>
      </c>
      <c r="C509">
        <v>15</v>
      </c>
      <c r="D509">
        <v>20</v>
      </c>
      <c r="E509">
        <v>26</v>
      </c>
      <c r="F509">
        <v>29</v>
      </c>
      <c r="G509">
        <v>44</v>
      </c>
      <c r="H509">
        <v>43</v>
      </c>
    </row>
    <row r="510" spans="1:8" x14ac:dyDescent="0.2">
      <c r="A510" s="1">
        <v>43549</v>
      </c>
      <c r="B510">
        <v>6</v>
      </c>
      <c r="C510">
        <v>13</v>
      </c>
      <c r="D510">
        <v>23</v>
      </c>
      <c r="E510">
        <v>26</v>
      </c>
      <c r="F510">
        <v>34</v>
      </c>
      <c r="G510">
        <v>37</v>
      </c>
      <c r="H510">
        <v>15</v>
      </c>
    </row>
    <row r="511" spans="1:8" x14ac:dyDescent="0.2">
      <c r="A511" s="1">
        <v>43545</v>
      </c>
      <c r="B511">
        <v>2</v>
      </c>
      <c r="C511">
        <v>5</v>
      </c>
      <c r="D511">
        <v>12</v>
      </c>
      <c r="E511">
        <v>13</v>
      </c>
      <c r="F511">
        <v>15</v>
      </c>
      <c r="G511">
        <v>31</v>
      </c>
      <c r="H511">
        <v>36</v>
      </c>
    </row>
    <row r="512" spans="1:8" x14ac:dyDescent="0.2">
      <c r="A512" s="1">
        <v>43542</v>
      </c>
      <c r="B512">
        <v>2</v>
      </c>
      <c r="C512">
        <v>5</v>
      </c>
      <c r="D512">
        <v>8</v>
      </c>
      <c r="E512">
        <v>17</v>
      </c>
      <c r="F512">
        <v>43</v>
      </c>
      <c r="G512">
        <v>47</v>
      </c>
      <c r="H512">
        <v>25</v>
      </c>
    </row>
    <row r="513" spans="1:8" x14ac:dyDescent="0.2">
      <c r="A513" s="1">
        <v>43538</v>
      </c>
      <c r="B513">
        <v>2</v>
      </c>
      <c r="C513">
        <v>4</v>
      </c>
      <c r="D513">
        <v>17</v>
      </c>
      <c r="E513">
        <v>21</v>
      </c>
      <c r="F513">
        <v>25</v>
      </c>
      <c r="G513">
        <v>46</v>
      </c>
      <c r="H513">
        <v>44</v>
      </c>
    </row>
    <row r="514" spans="1:8" x14ac:dyDescent="0.2">
      <c r="A514" s="1">
        <v>43535</v>
      </c>
      <c r="B514">
        <v>6</v>
      </c>
      <c r="C514">
        <v>23</v>
      </c>
      <c r="D514">
        <v>26</v>
      </c>
      <c r="E514">
        <v>27</v>
      </c>
      <c r="F514">
        <v>34</v>
      </c>
      <c r="G514">
        <v>49</v>
      </c>
      <c r="H514">
        <v>32</v>
      </c>
    </row>
    <row r="515" spans="1:8" x14ac:dyDescent="0.2">
      <c r="A515" s="1">
        <v>43531</v>
      </c>
      <c r="B515">
        <v>1</v>
      </c>
      <c r="C515">
        <v>2</v>
      </c>
      <c r="D515">
        <v>13</v>
      </c>
      <c r="E515">
        <v>29</v>
      </c>
      <c r="F515">
        <v>41</v>
      </c>
      <c r="G515">
        <v>43</v>
      </c>
      <c r="H515">
        <v>34</v>
      </c>
    </row>
    <row r="516" spans="1:8" x14ac:dyDescent="0.2">
      <c r="A516" s="1">
        <v>43528</v>
      </c>
      <c r="B516">
        <v>1</v>
      </c>
      <c r="C516">
        <v>6</v>
      </c>
      <c r="D516">
        <v>7</v>
      </c>
      <c r="E516">
        <v>16</v>
      </c>
      <c r="F516">
        <v>39</v>
      </c>
      <c r="G516">
        <v>40</v>
      </c>
      <c r="H516">
        <v>12</v>
      </c>
    </row>
    <row r="517" spans="1:8" x14ac:dyDescent="0.2">
      <c r="A517" s="1">
        <v>43524</v>
      </c>
      <c r="B517">
        <v>20</v>
      </c>
      <c r="C517">
        <v>24</v>
      </c>
      <c r="D517">
        <v>27</v>
      </c>
      <c r="E517">
        <v>39</v>
      </c>
      <c r="F517">
        <v>43</v>
      </c>
      <c r="G517">
        <v>48</v>
      </c>
      <c r="H517">
        <v>8</v>
      </c>
    </row>
    <row r="518" spans="1:8" x14ac:dyDescent="0.2">
      <c r="A518" s="1">
        <v>43521</v>
      </c>
      <c r="B518">
        <v>9</v>
      </c>
      <c r="C518">
        <v>12</v>
      </c>
      <c r="D518">
        <v>27</v>
      </c>
      <c r="E518">
        <v>28</v>
      </c>
      <c r="F518">
        <v>38</v>
      </c>
      <c r="G518">
        <v>44</v>
      </c>
      <c r="H518">
        <v>10</v>
      </c>
    </row>
    <row r="519" spans="1:8" x14ac:dyDescent="0.2">
      <c r="A519" s="1">
        <v>43518</v>
      </c>
      <c r="B519">
        <v>5</v>
      </c>
      <c r="C519">
        <v>8</v>
      </c>
      <c r="D519">
        <v>14</v>
      </c>
      <c r="E519">
        <v>16</v>
      </c>
      <c r="F519">
        <v>34</v>
      </c>
      <c r="G519">
        <v>39</v>
      </c>
      <c r="H519">
        <v>23</v>
      </c>
    </row>
    <row r="520" spans="1:8" x14ac:dyDescent="0.2">
      <c r="A520" s="1">
        <v>43514</v>
      </c>
      <c r="B520">
        <v>25</v>
      </c>
      <c r="C520">
        <v>26</v>
      </c>
      <c r="D520">
        <v>29</v>
      </c>
      <c r="E520">
        <v>31</v>
      </c>
      <c r="F520">
        <v>46</v>
      </c>
      <c r="G520">
        <v>49</v>
      </c>
      <c r="H520">
        <v>21</v>
      </c>
    </row>
    <row r="521" spans="1:8" x14ac:dyDescent="0.2">
      <c r="A521" s="1">
        <v>43510</v>
      </c>
      <c r="B521">
        <v>2</v>
      </c>
      <c r="C521">
        <v>10</v>
      </c>
      <c r="D521">
        <v>12</v>
      </c>
      <c r="E521">
        <v>20</v>
      </c>
      <c r="F521">
        <v>24</v>
      </c>
      <c r="G521">
        <v>32</v>
      </c>
      <c r="H521">
        <v>31</v>
      </c>
    </row>
    <row r="522" spans="1:8" x14ac:dyDescent="0.2">
      <c r="A522" s="1">
        <v>43507</v>
      </c>
      <c r="B522">
        <v>9</v>
      </c>
      <c r="C522">
        <v>10</v>
      </c>
      <c r="D522">
        <v>15</v>
      </c>
      <c r="E522">
        <v>33</v>
      </c>
      <c r="F522">
        <v>39</v>
      </c>
      <c r="G522">
        <v>40</v>
      </c>
      <c r="H522">
        <v>41</v>
      </c>
    </row>
    <row r="523" spans="1:8" x14ac:dyDescent="0.2">
      <c r="A523" s="1">
        <v>43503</v>
      </c>
      <c r="B523">
        <v>5</v>
      </c>
      <c r="C523">
        <v>7</v>
      </c>
      <c r="D523">
        <v>9</v>
      </c>
      <c r="E523">
        <v>11</v>
      </c>
      <c r="F523">
        <v>35</v>
      </c>
      <c r="G523">
        <v>49</v>
      </c>
      <c r="H523">
        <v>31</v>
      </c>
    </row>
    <row r="524" spans="1:8" x14ac:dyDescent="0.2">
      <c r="A524" s="1">
        <v>43500</v>
      </c>
      <c r="B524">
        <v>6</v>
      </c>
      <c r="C524">
        <v>15</v>
      </c>
      <c r="D524">
        <v>21</v>
      </c>
      <c r="E524">
        <v>30</v>
      </c>
      <c r="F524">
        <v>46</v>
      </c>
      <c r="G524">
        <v>47</v>
      </c>
      <c r="H524">
        <v>34</v>
      </c>
    </row>
    <row r="525" spans="1:8" x14ac:dyDescent="0.2">
      <c r="A525" s="1">
        <v>43497</v>
      </c>
      <c r="B525">
        <v>5</v>
      </c>
      <c r="C525">
        <v>11</v>
      </c>
      <c r="D525">
        <v>16</v>
      </c>
      <c r="E525">
        <v>17</v>
      </c>
      <c r="F525">
        <v>22</v>
      </c>
      <c r="G525">
        <v>27</v>
      </c>
      <c r="H525">
        <v>10</v>
      </c>
    </row>
    <row r="526" spans="1:8" x14ac:dyDescent="0.2">
      <c r="A526" s="1">
        <v>43493</v>
      </c>
      <c r="B526">
        <v>6</v>
      </c>
      <c r="C526">
        <v>11</v>
      </c>
      <c r="D526">
        <v>19</v>
      </c>
      <c r="E526">
        <v>33</v>
      </c>
      <c r="F526">
        <v>35</v>
      </c>
      <c r="G526">
        <v>38</v>
      </c>
      <c r="H526">
        <v>45</v>
      </c>
    </row>
    <row r="527" spans="1:8" x14ac:dyDescent="0.2">
      <c r="A527" s="1">
        <v>43489</v>
      </c>
      <c r="B527">
        <v>3</v>
      </c>
      <c r="C527">
        <v>4</v>
      </c>
      <c r="D527">
        <v>18</v>
      </c>
      <c r="E527">
        <v>32</v>
      </c>
      <c r="F527">
        <v>41</v>
      </c>
      <c r="G527">
        <v>44</v>
      </c>
      <c r="H527">
        <v>34</v>
      </c>
    </row>
    <row r="528" spans="1:8" x14ac:dyDescent="0.2">
      <c r="A528" s="1">
        <v>43486</v>
      </c>
      <c r="B528">
        <v>7</v>
      </c>
      <c r="C528">
        <v>38</v>
      </c>
      <c r="D528">
        <v>40</v>
      </c>
      <c r="E528">
        <v>45</v>
      </c>
      <c r="F528">
        <v>46</v>
      </c>
      <c r="G528">
        <v>47</v>
      </c>
      <c r="H528">
        <v>21</v>
      </c>
    </row>
    <row r="529" spans="1:8" x14ac:dyDescent="0.2">
      <c r="A529" s="1">
        <v>43482</v>
      </c>
      <c r="B529">
        <v>5</v>
      </c>
      <c r="C529">
        <v>10</v>
      </c>
      <c r="D529">
        <v>22</v>
      </c>
      <c r="E529">
        <v>30</v>
      </c>
      <c r="F529">
        <v>42</v>
      </c>
      <c r="G529">
        <v>48</v>
      </c>
      <c r="H529">
        <v>13</v>
      </c>
    </row>
    <row r="530" spans="1:8" x14ac:dyDescent="0.2">
      <c r="A530" s="1">
        <v>43479</v>
      </c>
      <c r="B530">
        <v>10</v>
      </c>
      <c r="C530">
        <v>13</v>
      </c>
      <c r="D530">
        <v>21</v>
      </c>
      <c r="E530">
        <v>27</v>
      </c>
      <c r="F530">
        <v>34</v>
      </c>
      <c r="G530">
        <v>40</v>
      </c>
      <c r="H530">
        <v>41</v>
      </c>
    </row>
    <row r="531" spans="1:8" x14ac:dyDescent="0.2">
      <c r="A531" s="1">
        <v>43476</v>
      </c>
      <c r="B531">
        <v>1</v>
      </c>
      <c r="C531">
        <v>2</v>
      </c>
      <c r="D531">
        <v>13</v>
      </c>
      <c r="E531">
        <v>18</v>
      </c>
      <c r="F531">
        <v>41</v>
      </c>
      <c r="G531">
        <v>47</v>
      </c>
      <c r="H531">
        <v>46</v>
      </c>
    </row>
    <row r="532" spans="1:8" x14ac:dyDescent="0.2">
      <c r="A532" s="1">
        <v>43472</v>
      </c>
      <c r="B532">
        <v>1</v>
      </c>
      <c r="C532">
        <v>2</v>
      </c>
      <c r="D532">
        <v>36</v>
      </c>
      <c r="E532">
        <v>39</v>
      </c>
      <c r="F532">
        <v>41</v>
      </c>
      <c r="G532">
        <v>42</v>
      </c>
      <c r="H532">
        <v>37</v>
      </c>
    </row>
    <row r="533" spans="1:8" x14ac:dyDescent="0.2">
      <c r="A533" s="1">
        <v>43468</v>
      </c>
      <c r="B533">
        <v>12</v>
      </c>
      <c r="C533">
        <v>22</v>
      </c>
      <c r="D533">
        <v>26</v>
      </c>
      <c r="E533">
        <v>37</v>
      </c>
      <c r="F533">
        <v>40</v>
      </c>
      <c r="G533">
        <v>47</v>
      </c>
      <c r="H533">
        <v>33</v>
      </c>
    </row>
    <row r="534" spans="1:8" x14ac:dyDescent="0.2">
      <c r="A534" s="1">
        <v>43465</v>
      </c>
      <c r="B534">
        <v>8</v>
      </c>
      <c r="C534">
        <v>13</v>
      </c>
      <c r="D534">
        <v>18</v>
      </c>
      <c r="E534">
        <v>28</v>
      </c>
      <c r="F534">
        <v>43</v>
      </c>
      <c r="G534">
        <v>49</v>
      </c>
      <c r="H534">
        <v>6</v>
      </c>
    </row>
    <row r="535" spans="1:8" x14ac:dyDescent="0.2">
      <c r="A535" s="1">
        <v>43461</v>
      </c>
      <c r="B535">
        <v>9</v>
      </c>
      <c r="C535">
        <v>19</v>
      </c>
      <c r="D535">
        <v>20</v>
      </c>
      <c r="E535">
        <v>30</v>
      </c>
      <c r="F535">
        <v>35</v>
      </c>
      <c r="G535">
        <v>46</v>
      </c>
      <c r="H535">
        <v>23</v>
      </c>
    </row>
    <row r="536" spans="1:8" x14ac:dyDescent="0.2">
      <c r="A536" s="1">
        <v>43458</v>
      </c>
      <c r="B536">
        <v>3</v>
      </c>
      <c r="C536">
        <v>5</v>
      </c>
      <c r="D536">
        <v>12</v>
      </c>
      <c r="E536">
        <v>17</v>
      </c>
      <c r="F536">
        <v>29</v>
      </c>
      <c r="G536">
        <v>39</v>
      </c>
      <c r="H536">
        <v>31</v>
      </c>
    </row>
    <row r="537" spans="1:8" x14ac:dyDescent="0.2">
      <c r="A537" s="1">
        <v>43454</v>
      </c>
      <c r="B537">
        <v>7</v>
      </c>
      <c r="C537">
        <v>12</v>
      </c>
      <c r="D537">
        <v>15</v>
      </c>
      <c r="E537">
        <v>30</v>
      </c>
      <c r="F537">
        <v>33</v>
      </c>
      <c r="G537">
        <v>39</v>
      </c>
      <c r="H537">
        <v>48</v>
      </c>
    </row>
    <row r="538" spans="1:8" x14ac:dyDescent="0.2">
      <c r="A538" s="1">
        <v>43451</v>
      </c>
      <c r="B538">
        <v>15</v>
      </c>
      <c r="C538">
        <v>16</v>
      </c>
      <c r="D538">
        <v>30</v>
      </c>
      <c r="E538">
        <v>32</v>
      </c>
      <c r="F538">
        <v>44</v>
      </c>
      <c r="G538">
        <v>48</v>
      </c>
      <c r="H538">
        <v>46</v>
      </c>
    </row>
    <row r="539" spans="1:8" x14ac:dyDescent="0.2">
      <c r="A539" s="1">
        <v>43447</v>
      </c>
      <c r="B539">
        <v>3</v>
      </c>
      <c r="C539">
        <v>11</v>
      </c>
      <c r="D539">
        <v>18</v>
      </c>
      <c r="E539">
        <v>23</v>
      </c>
      <c r="F539">
        <v>38</v>
      </c>
      <c r="G539">
        <v>47</v>
      </c>
      <c r="H539">
        <v>7</v>
      </c>
    </row>
    <row r="540" spans="1:8" x14ac:dyDescent="0.2">
      <c r="A540" s="1">
        <v>43444</v>
      </c>
      <c r="B540">
        <v>4</v>
      </c>
      <c r="C540">
        <v>10</v>
      </c>
      <c r="D540">
        <v>14</v>
      </c>
      <c r="E540">
        <v>26</v>
      </c>
      <c r="F540">
        <v>39</v>
      </c>
      <c r="G540">
        <v>44</v>
      </c>
      <c r="H540">
        <v>48</v>
      </c>
    </row>
    <row r="541" spans="1:8" x14ac:dyDescent="0.2">
      <c r="A541" s="1">
        <v>43440</v>
      </c>
      <c r="B541">
        <v>5</v>
      </c>
      <c r="C541">
        <v>9</v>
      </c>
      <c r="D541">
        <v>16</v>
      </c>
      <c r="E541">
        <v>18</v>
      </c>
      <c r="F541">
        <v>23</v>
      </c>
      <c r="G541">
        <v>47</v>
      </c>
      <c r="H541">
        <v>19</v>
      </c>
    </row>
    <row r="542" spans="1:8" x14ac:dyDescent="0.2">
      <c r="A542" s="1">
        <v>43437</v>
      </c>
      <c r="B542">
        <v>5</v>
      </c>
      <c r="C542">
        <v>6</v>
      </c>
      <c r="D542">
        <v>7</v>
      </c>
      <c r="E542">
        <v>29</v>
      </c>
      <c r="F542">
        <v>37</v>
      </c>
      <c r="G542">
        <v>38</v>
      </c>
      <c r="H542">
        <v>23</v>
      </c>
    </row>
    <row r="543" spans="1:8" x14ac:dyDescent="0.2">
      <c r="A543" s="1">
        <v>43433</v>
      </c>
      <c r="B543">
        <v>4</v>
      </c>
      <c r="C543">
        <v>11</v>
      </c>
      <c r="D543">
        <v>19</v>
      </c>
      <c r="E543">
        <v>25</v>
      </c>
      <c r="F543">
        <v>40</v>
      </c>
      <c r="G543">
        <v>44</v>
      </c>
      <c r="H543">
        <v>1</v>
      </c>
    </row>
    <row r="544" spans="1:8" x14ac:dyDescent="0.2">
      <c r="A544" s="1">
        <v>43430</v>
      </c>
      <c r="B544">
        <v>16</v>
      </c>
      <c r="C544">
        <v>22</v>
      </c>
      <c r="D544">
        <v>28</v>
      </c>
      <c r="E544">
        <v>31</v>
      </c>
      <c r="F544">
        <v>38</v>
      </c>
      <c r="G544">
        <v>46</v>
      </c>
      <c r="H544">
        <v>33</v>
      </c>
    </row>
    <row r="545" spans="1:8" x14ac:dyDescent="0.2">
      <c r="A545" s="1">
        <v>43426</v>
      </c>
      <c r="B545">
        <v>11</v>
      </c>
      <c r="C545">
        <v>17</v>
      </c>
      <c r="D545">
        <v>20</v>
      </c>
      <c r="E545">
        <v>21</v>
      </c>
      <c r="F545">
        <v>27</v>
      </c>
      <c r="G545">
        <v>30</v>
      </c>
      <c r="H545">
        <v>33</v>
      </c>
    </row>
    <row r="546" spans="1:8" x14ac:dyDescent="0.2">
      <c r="A546" s="1">
        <v>43423</v>
      </c>
      <c r="B546">
        <v>2</v>
      </c>
      <c r="C546">
        <v>9</v>
      </c>
      <c r="D546">
        <v>14</v>
      </c>
      <c r="E546">
        <v>36</v>
      </c>
      <c r="F546">
        <v>46</v>
      </c>
      <c r="G546">
        <v>48</v>
      </c>
      <c r="H546">
        <v>5</v>
      </c>
    </row>
    <row r="547" spans="1:8" x14ac:dyDescent="0.2">
      <c r="A547" s="1">
        <v>43419</v>
      </c>
      <c r="B547">
        <v>21</v>
      </c>
      <c r="C547">
        <v>25</v>
      </c>
      <c r="D547">
        <v>27</v>
      </c>
      <c r="E547">
        <v>36</v>
      </c>
      <c r="F547">
        <v>39</v>
      </c>
      <c r="G547">
        <v>44</v>
      </c>
      <c r="H547">
        <v>18</v>
      </c>
    </row>
    <row r="548" spans="1:8" x14ac:dyDescent="0.2">
      <c r="A548" s="1">
        <v>43416</v>
      </c>
      <c r="B548">
        <v>4</v>
      </c>
      <c r="C548">
        <v>12</v>
      </c>
      <c r="D548">
        <v>21</v>
      </c>
      <c r="E548">
        <v>34</v>
      </c>
      <c r="F548">
        <v>41</v>
      </c>
      <c r="G548">
        <v>47</v>
      </c>
      <c r="H548">
        <v>33</v>
      </c>
    </row>
    <row r="549" spans="1:8" x14ac:dyDescent="0.2">
      <c r="A549" s="1">
        <v>43412</v>
      </c>
      <c r="B549">
        <v>8</v>
      </c>
      <c r="C549">
        <v>13</v>
      </c>
      <c r="D549">
        <v>16</v>
      </c>
      <c r="E549">
        <v>26</v>
      </c>
      <c r="F549">
        <v>28</v>
      </c>
      <c r="G549">
        <v>38</v>
      </c>
      <c r="H549">
        <v>46</v>
      </c>
    </row>
    <row r="550" spans="1:8" x14ac:dyDescent="0.2">
      <c r="A550" s="1">
        <v>43409</v>
      </c>
      <c r="B550">
        <v>3</v>
      </c>
      <c r="C550">
        <v>8</v>
      </c>
      <c r="D550">
        <v>14</v>
      </c>
      <c r="E550">
        <v>28</v>
      </c>
      <c r="F550">
        <v>43</v>
      </c>
      <c r="G550">
        <v>49</v>
      </c>
      <c r="H550">
        <v>26</v>
      </c>
    </row>
    <row r="551" spans="1:8" x14ac:dyDescent="0.2">
      <c r="A551" s="1">
        <v>43405</v>
      </c>
      <c r="B551">
        <v>6</v>
      </c>
      <c r="C551">
        <v>27</v>
      </c>
      <c r="D551">
        <v>28</v>
      </c>
      <c r="E551">
        <v>41</v>
      </c>
      <c r="F551">
        <v>44</v>
      </c>
      <c r="G551">
        <v>48</v>
      </c>
      <c r="H551">
        <v>15</v>
      </c>
    </row>
    <row r="552" spans="1:8" x14ac:dyDescent="0.2">
      <c r="A552" s="1">
        <v>43402</v>
      </c>
      <c r="B552">
        <v>2</v>
      </c>
      <c r="C552">
        <v>6</v>
      </c>
      <c r="D552">
        <v>10</v>
      </c>
      <c r="E552">
        <v>20</v>
      </c>
      <c r="F552">
        <v>28</v>
      </c>
      <c r="G552">
        <v>31</v>
      </c>
      <c r="H552">
        <v>30</v>
      </c>
    </row>
    <row r="553" spans="1:8" x14ac:dyDescent="0.2">
      <c r="A553" s="1">
        <v>43398</v>
      </c>
      <c r="B553">
        <v>7</v>
      </c>
      <c r="C553">
        <v>8</v>
      </c>
      <c r="D553">
        <v>13</v>
      </c>
      <c r="E553">
        <v>15</v>
      </c>
      <c r="F553">
        <v>35</v>
      </c>
      <c r="G553">
        <v>48</v>
      </c>
      <c r="H553">
        <v>30</v>
      </c>
    </row>
    <row r="554" spans="1:8" x14ac:dyDescent="0.2">
      <c r="A554" s="1">
        <v>43395</v>
      </c>
      <c r="B554">
        <v>5</v>
      </c>
      <c r="C554">
        <v>22</v>
      </c>
      <c r="D554">
        <v>24</v>
      </c>
      <c r="E554">
        <v>40</v>
      </c>
      <c r="F554">
        <v>43</v>
      </c>
      <c r="G554">
        <v>48</v>
      </c>
      <c r="H554">
        <v>2</v>
      </c>
    </row>
    <row r="555" spans="1:8" x14ac:dyDescent="0.2">
      <c r="A555" s="1">
        <v>43391</v>
      </c>
      <c r="B555">
        <v>5</v>
      </c>
      <c r="C555">
        <v>14</v>
      </c>
      <c r="D555">
        <v>17</v>
      </c>
      <c r="E555">
        <v>31</v>
      </c>
      <c r="F555">
        <v>46</v>
      </c>
      <c r="G555">
        <v>48</v>
      </c>
      <c r="H555">
        <v>47</v>
      </c>
    </row>
    <row r="556" spans="1:8" x14ac:dyDescent="0.2">
      <c r="A556" s="1">
        <v>43388</v>
      </c>
      <c r="B556">
        <v>1</v>
      </c>
      <c r="C556">
        <v>4</v>
      </c>
      <c r="D556">
        <v>24</v>
      </c>
      <c r="E556">
        <v>32</v>
      </c>
      <c r="F556">
        <v>35</v>
      </c>
      <c r="G556">
        <v>48</v>
      </c>
      <c r="H556">
        <v>20</v>
      </c>
    </row>
    <row r="557" spans="1:8" x14ac:dyDescent="0.2">
      <c r="A557" s="1">
        <v>43384</v>
      </c>
      <c r="B557">
        <v>1</v>
      </c>
      <c r="C557">
        <v>16</v>
      </c>
      <c r="D557">
        <v>18</v>
      </c>
      <c r="E557">
        <v>24</v>
      </c>
      <c r="F557">
        <v>29</v>
      </c>
      <c r="G557">
        <v>46</v>
      </c>
      <c r="H557">
        <v>35</v>
      </c>
    </row>
    <row r="558" spans="1:8" x14ac:dyDescent="0.2">
      <c r="A558" s="1">
        <v>43381</v>
      </c>
      <c r="B558">
        <v>17</v>
      </c>
      <c r="C558">
        <v>18</v>
      </c>
      <c r="D558">
        <v>23</v>
      </c>
      <c r="E558">
        <v>39</v>
      </c>
      <c r="F558">
        <v>43</v>
      </c>
      <c r="G558">
        <v>49</v>
      </c>
      <c r="H558">
        <v>2</v>
      </c>
    </row>
    <row r="559" spans="1:8" x14ac:dyDescent="0.2">
      <c r="A559" s="1">
        <v>43377</v>
      </c>
      <c r="B559">
        <v>5</v>
      </c>
      <c r="C559">
        <v>12</v>
      </c>
      <c r="D559">
        <v>23</v>
      </c>
      <c r="E559">
        <v>32</v>
      </c>
      <c r="F559">
        <v>37</v>
      </c>
      <c r="G559">
        <v>42</v>
      </c>
      <c r="H559">
        <v>43</v>
      </c>
    </row>
    <row r="560" spans="1:8" x14ac:dyDescent="0.2">
      <c r="A560" s="1">
        <v>43374</v>
      </c>
      <c r="B560">
        <v>11</v>
      </c>
      <c r="C560">
        <v>15</v>
      </c>
      <c r="D560">
        <v>23</v>
      </c>
      <c r="E560">
        <v>24</v>
      </c>
      <c r="F560">
        <v>32</v>
      </c>
      <c r="G560">
        <v>40</v>
      </c>
      <c r="H560">
        <v>43</v>
      </c>
    </row>
    <row r="561" spans="1:8" x14ac:dyDescent="0.2">
      <c r="A561" s="1">
        <v>43370</v>
      </c>
      <c r="B561">
        <v>2</v>
      </c>
      <c r="C561">
        <v>25</v>
      </c>
      <c r="D561">
        <v>29</v>
      </c>
      <c r="E561">
        <v>33</v>
      </c>
      <c r="F561">
        <v>42</v>
      </c>
      <c r="G561">
        <v>45</v>
      </c>
      <c r="H561">
        <v>20</v>
      </c>
    </row>
    <row r="562" spans="1:8" x14ac:dyDescent="0.2">
      <c r="A562" s="1">
        <v>43367</v>
      </c>
      <c r="B562">
        <v>6</v>
      </c>
      <c r="C562">
        <v>8</v>
      </c>
      <c r="D562">
        <v>17</v>
      </c>
      <c r="E562">
        <v>24</v>
      </c>
      <c r="F562">
        <v>29</v>
      </c>
      <c r="G562">
        <v>47</v>
      </c>
      <c r="H562">
        <v>34</v>
      </c>
    </row>
    <row r="563" spans="1:8" x14ac:dyDescent="0.2">
      <c r="A563" s="1">
        <v>43363</v>
      </c>
      <c r="B563">
        <v>5</v>
      </c>
      <c r="C563">
        <v>12</v>
      </c>
      <c r="D563">
        <v>18</v>
      </c>
      <c r="E563">
        <v>30</v>
      </c>
      <c r="F563">
        <v>32</v>
      </c>
      <c r="G563">
        <v>38</v>
      </c>
      <c r="H563">
        <v>22</v>
      </c>
    </row>
    <row r="564" spans="1:8" x14ac:dyDescent="0.2">
      <c r="A564" s="1">
        <v>43360</v>
      </c>
      <c r="B564">
        <v>16</v>
      </c>
      <c r="C564">
        <v>21</v>
      </c>
      <c r="D564">
        <v>22</v>
      </c>
      <c r="E564">
        <v>24</v>
      </c>
      <c r="F564">
        <v>25</v>
      </c>
      <c r="G564">
        <v>27</v>
      </c>
      <c r="H564">
        <v>1</v>
      </c>
    </row>
    <row r="565" spans="1:8" x14ac:dyDescent="0.2">
      <c r="A565" s="1">
        <v>43356</v>
      </c>
      <c r="B565">
        <v>6</v>
      </c>
      <c r="C565">
        <v>16</v>
      </c>
      <c r="D565">
        <v>17</v>
      </c>
      <c r="E565">
        <v>40</v>
      </c>
      <c r="F565">
        <v>44</v>
      </c>
      <c r="G565">
        <v>48</v>
      </c>
      <c r="H565">
        <v>34</v>
      </c>
    </row>
    <row r="566" spans="1:8" x14ac:dyDescent="0.2">
      <c r="A566" s="1">
        <v>43353</v>
      </c>
      <c r="B566">
        <v>2</v>
      </c>
      <c r="C566">
        <v>6</v>
      </c>
      <c r="D566">
        <v>9</v>
      </c>
      <c r="E566">
        <v>15</v>
      </c>
      <c r="F566">
        <v>40</v>
      </c>
      <c r="G566">
        <v>43</v>
      </c>
      <c r="H566">
        <v>18</v>
      </c>
    </row>
    <row r="567" spans="1:8" x14ac:dyDescent="0.2">
      <c r="A567" s="1">
        <v>43349</v>
      </c>
      <c r="B567">
        <v>2</v>
      </c>
      <c r="C567">
        <v>15</v>
      </c>
      <c r="D567">
        <v>17</v>
      </c>
      <c r="E567">
        <v>20</v>
      </c>
      <c r="F567">
        <v>23</v>
      </c>
      <c r="G567">
        <v>30</v>
      </c>
      <c r="H567">
        <v>45</v>
      </c>
    </row>
    <row r="568" spans="1:8" x14ac:dyDescent="0.2">
      <c r="A568" s="1">
        <v>43346</v>
      </c>
      <c r="B568">
        <v>4</v>
      </c>
      <c r="C568">
        <v>5</v>
      </c>
      <c r="D568">
        <v>13</v>
      </c>
      <c r="E568">
        <v>18</v>
      </c>
      <c r="F568">
        <v>39</v>
      </c>
      <c r="G568">
        <v>40</v>
      </c>
      <c r="H568">
        <v>3</v>
      </c>
    </row>
    <row r="569" spans="1:8" x14ac:dyDescent="0.2">
      <c r="A569" s="1">
        <v>43342</v>
      </c>
      <c r="B569">
        <v>3</v>
      </c>
      <c r="C569">
        <v>9</v>
      </c>
      <c r="D569">
        <v>27</v>
      </c>
      <c r="E569">
        <v>29</v>
      </c>
      <c r="F569">
        <v>31</v>
      </c>
      <c r="G569">
        <v>40</v>
      </c>
      <c r="H569">
        <v>46</v>
      </c>
    </row>
    <row r="570" spans="1:8" x14ac:dyDescent="0.2">
      <c r="A570" s="1">
        <v>43339</v>
      </c>
      <c r="B570">
        <v>5</v>
      </c>
      <c r="C570">
        <v>6</v>
      </c>
      <c r="D570">
        <v>16</v>
      </c>
      <c r="E570">
        <v>24</v>
      </c>
      <c r="F570">
        <v>26</v>
      </c>
      <c r="G570">
        <v>29</v>
      </c>
      <c r="H570">
        <v>38</v>
      </c>
    </row>
    <row r="571" spans="1:8" x14ac:dyDescent="0.2">
      <c r="A571" s="1">
        <v>43335</v>
      </c>
      <c r="B571">
        <v>2</v>
      </c>
      <c r="C571">
        <v>3</v>
      </c>
      <c r="D571">
        <v>23</v>
      </c>
      <c r="E571">
        <v>30</v>
      </c>
      <c r="F571">
        <v>39</v>
      </c>
      <c r="G571">
        <v>41</v>
      </c>
      <c r="H571">
        <v>19</v>
      </c>
    </row>
    <row r="572" spans="1:8" x14ac:dyDescent="0.2">
      <c r="A572" s="1">
        <v>43332</v>
      </c>
      <c r="B572">
        <v>9</v>
      </c>
      <c r="C572">
        <v>10</v>
      </c>
      <c r="D572">
        <v>25</v>
      </c>
      <c r="E572">
        <v>38</v>
      </c>
      <c r="F572">
        <v>40</v>
      </c>
      <c r="G572">
        <v>42</v>
      </c>
      <c r="H572">
        <v>2</v>
      </c>
    </row>
    <row r="573" spans="1:8" x14ac:dyDescent="0.2">
      <c r="A573" s="1">
        <v>43328</v>
      </c>
      <c r="B573">
        <v>22</v>
      </c>
      <c r="C573">
        <v>23</v>
      </c>
      <c r="D573">
        <v>25</v>
      </c>
      <c r="E573">
        <v>32</v>
      </c>
      <c r="F573">
        <v>33</v>
      </c>
      <c r="G573">
        <v>36</v>
      </c>
      <c r="H573">
        <v>20</v>
      </c>
    </row>
    <row r="574" spans="1:8" x14ac:dyDescent="0.2">
      <c r="A574" s="1">
        <v>43325</v>
      </c>
      <c r="B574">
        <v>1</v>
      </c>
      <c r="C574">
        <v>3</v>
      </c>
      <c r="D574">
        <v>6</v>
      </c>
      <c r="E574">
        <v>16</v>
      </c>
      <c r="F574">
        <v>22</v>
      </c>
      <c r="G574">
        <v>36</v>
      </c>
      <c r="H574">
        <v>17</v>
      </c>
    </row>
    <row r="575" spans="1:8" x14ac:dyDescent="0.2">
      <c r="A575" s="1">
        <v>43321</v>
      </c>
      <c r="B575">
        <v>13</v>
      </c>
      <c r="C575">
        <v>16</v>
      </c>
      <c r="D575">
        <v>20</v>
      </c>
      <c r="E575">
        <v>23</v>
      </c>
      <c r="F575">
        <v>39</v>
      </c>
      <c r="G575">
        <v>42</v>
      </c>
      <c r="H575">
        <v>28</v>
      </c>
    </row>
    <row r="576" spans="1:8" x14ac:dyDescent="0.2">
      <c r="A576" s="1">
        <v>43318</v>
      </c>
      <c r="B576">
        <v>7</v>
      </c>
      <c r="C576">
        <v>18</v>
      </c>
      <c r="D576">
        <v>20</v>
      </c>
      <c r="E576">
        <v>27</v>
      </c>
      <c r="F576">
        <v>36</v>
      </c>
      <c r="G576">
        <v>40</v>
      </c>
      <c r="H576">
        <v>15</v>
      </c>
    </row>
    <row r="577" spans="1:8" x14ac:dyDescent="0.2">
      <c r="A577" s="1">
        <v>43314</v>
      </c>
      <c r="B577">
        <v>1</v>
      </c>
      <c r="C577">
        <v>10</v>
      </c>
      <c r="D577">
        <v>15</v>
      </c>
      <c r="E577">
        <v>27</v>
      </c>
      <c r="F577">
        <v>41</v>
      </c>
      <c r="G577">
        <v>46</v>
      </c>
      <c r="H577">
        <v>35</v>
      </c>
    </row>
    <row r="578" spans="1:8" x14ac:dyDescent="0.2">
      <c r="A578" s="1">
        <v>43311</v>
      </c>
      <c r="B578">
        <v>8</v>
      </c>
      <c r="C578">
        <v>10</v>
      </c>
      <c r="D578">
        <v>19</v>
      </c>
      <c r="E578">
        <v>20</v>
      </c>
      <c r="F578">
        <v>41</v>
      </c>
      <c r="G578">
        <v>43</v>
      </c>
      <c r="H578">
        <v>7</v>
      </c>
    </row>
    <row r="579" spans="1:8" x14ac:dyDescent="0.2">
      <c r="A579" s="1">
        <v>43307</v>
      </c>
      <c r="B579">
        <v>1</v>
      </c>
      <c r="C579">
        <v>9</v>
      </c>
      <c r="D579">
        <v>13</v>
      </c>
      <c r="E579">
        <v>17</v>
      </c>
      <c r="F579">
        <v>28</v>
      </c>
      <c r="G579">
        <v>40</v>
      </c>
      <c r="H579">
        <v>37</v>
      </c>
    </row>
    <row r="580" spans="1:8" x14ac:dyDescent="0.2">
      <c r="A580" s="1">
        <v>43304</v>
      </c>
      <c r="B580">
        <v>2</v>
      </c>
      <c r="C580">
        <v>23</v>
      </c>
      <c r="D580">
        <v>26</v>
      </c>
      <c r="E580">
        <v>28</v>
      </c>
      <c r="F580">
        <v>39</v>
      </c>
      <c r="G580">
        <v>40</v>
      </c>
      <c r="H580">
        <v>12</v>
      </c>
    </row>
    <row r="581" spans="1:8" x14ac:dyDescent="0.2">
      <c r="A581" s="1">
        <v>43300</v>
      </c>
      <c r="B581">
        <v>13</v>
      </c>
      <c r="C581">
        <v>14</v>
      </c>
      <c r="D581">
        <v>23</v>
      </c>
      <c r="E581">
        <v>35</v>
      </c>
      <c r="F581">
        <v>37</v>
      </c>
      <c r="G581">
        <v>46</v>
      </c>
      <c r="H581">
        <v>45</v>
      </c>
    </row>
    <row r="582" spans="1:8" x14ac:dyDescent="0.2">
      <c r="A582" s="1">
        <v>43297</v>
      </c>
      <c r="B582">
        <v>4</v>
      </c>
      <c r="C582">
        <v>8</v>
      </c>
      <c r="D582">
        <v>19</v>
      </c>
      <c r="E582">
        <v>24</v>
      </c>
      <c r="F582">
        <v>32</v>
      </c>
      <c r="G582">
        <v>47</v>
      </c>
      <c r="H582">
        <v>22</v>
      </c>
    </row>
    <row r="583" spans="1:8" x14ac:dyDescent="0.2">
      <c r="A583" s="1">
        <v>43293</v>
      </c>
      <c r="B583">
        <v>4</v>
      </c>
      <c r="C583">
        <v>15</v>
      </c>
      <c r="D583">
        <v>25</v>
      </c>
      <c r="E583">
        <v>32</v>
      </c>
      <c r="F583">
        <v>40</v>
      </c>
      <c r="G583">
        <v>41</v>
      </c>
      <c r="H583">
        <v>10</v>
      </c>
    </row>
    <row r="584" spans="1:8" x14ac:dyDescent="0.2">
      <c r="A584" s="1">
        <v>43290</v>
      </c>
      <c r="B584">
        <v>6</v>
      </c>
      <c r="C584">
        <v>23</v>
      </c>
      <c r="D584">
        <v>31</v>
      </c>
      <c r="E584">
        <v>38</v>
      </c>
      <c r="F584">
        <v>39</v>
      </c>
      <c r="G584">
        <v>43</v>
      </c>
      <c r="H584">
        <v>33</v>
      </c>
    </row>
    <row r="585" spans="1:8" x14ac:dyDescent="0.2">
      <c r="A585" s="1">
        <v>43286</v>
      </c>
      <c r="B585">
        <v>8</v>
      </c>
      <c r="C585">
        <v>11</v>
      </c>
      <c r="D585">
        <v>28</v>
      </c>
      <c r="E585">
        <v>30</v>
      </c>
      <c r="F585">
        <v>32</v>
      </c>
      <c r="G585">
        <v>34</v>
      </c>
      <c r="H585">
        <v>39</v>
      </c>
    </row>
    <row r="586" spans="1:8" x14ac:dyDescent="0.2">
      <c r="A586" s="1">
        <v>43283</v>
      </c>
      <c r="B586">
        <v>12</v>
      </c>
      <c r="C586">
        <v>13</v>
      </c>
      <c r="D586">
        <v>26</v>
      </c>
      <c r="E586">
        <v>33</v>
      </c>
      <c r="F586">
        <v>35</v>
      </c>
      <c r="G586">
        <v>38</v>
      </c>
      <c r="H586">
        <v>23</v>
      </c>
    </row>
    <row r="587" spans="1:8" x14ac:dyDescent="0.2">
      <c r="A587" s="1">
        <v>43279</v>
      </c>
      <c r="B587">
        <v>2</v>
      </c>
      <c r="C587">
        <v>7</v>
      </c>
      <c r="D587">
        <v>22</v>
      </c>
      <c r="E587">
        <v>27</v>
      </c>
      <c r="F587">
        <v>40</v>
      </c>
      <c r="G587">
        <v>47</v>
      </c>
      <c r="H587">
        <v>48</v>
      </c>
    </row>
    <row r="588" spans="1:8" x14ac:dyDescent="0.2">
      <c r="A588" s="1">
        <v>43276</v>
      </c>
      <c r="B588">
        <v>2</v>
      </c>
      <c r="C588">
        <v>5</v>
      </c>
      <c r="D588">
        <v>25</v>
      </c>
      <c r="E588">
        <v>38</v>
      </c>
      <c r="F588">
        <v>44</v>
      </c>
      <c r="G588">
        <v>48</v>
      </c>
      <c r="H588">
        <v>9</v>
      </c>
    </row>
    <row r="589" spans="1:8" x14ac:dyDescent="0.2">
      <c r="A589" s="1">
        <v>43272</v>
      </c>
      <c r="B589">
        <v>4</v>
      </c>
      <c r="C589">
        <v>6</v>
      </c>
      <c r="D589">
        <v>15</v>
      </c>
      <c r="E589">
        <v>24</v>
      </c>
      <c r="F589">
        <v>30</v>
      </c>
      <c r="G589">
        <v>35</v>
      </c>
      <c r="H589">
        <v>46</v>
      </c>
    </row>
    <row r="590" spans="1:8" x14ac:dyDescent="0.2">
      <c r="A590" s="1">
        <v>43269</v>
      </c>
      <c r="B590">
        <v>11</v>
      </c>
      <c r="C590">
        <v>15</v>
      </c>
      <c r="D590">
        <v>22</v>
      </c>
      <c r="E590">
        <v>23</v>
      </c>
      <c r="F590">
        <v>26</v>
      </c>
      <c r="G590">
        <v>43</v>
      </c>
      <c r="H590">
        <v>25</v>
      </c>
    </row>
    <row r="591" spans="1:8" x14ac:dyDescent="0.2">
      <c r="A591" s="1">
        <v>43265</v>
      </c>
      <c r="B591">
        <v>4</v>
      </c>
      <c r="C591">
        <v>29</v>
      </c>
      <c r="D591">
        <v>31</v>
      </c>
      <c r="E591">
        <v>35</v>
      </c>
      <c r="F591">
        <v>42</v>
      </c>
      <c r="G591">
        <v>48</v>
      </c>
      <c r="H591">
        <v>1</v>
      </c>
    </row>
    <row r="592" spans="1:8" x14ac:dyDescent="0.2">
      <c r="A592" s="1">
        <v>43262</v>
      </c>
      <c r="B592">
        <v>16</v>
      </c>
      <c r="C592">
        <v>25</v>
      </c>
      <c r="D592">
        <v>30</v>
      </c>
      <c r="E592">
        <v>37</v>
      </c>
      <c r="F592">
        <v>44</v>
      </c>
      <c r="G592">
        <v>49</v>
      </c>
      <c r="H592">
        <v>34</v>
      </c>
    </row>
    <row r="593" spans="1:8" x14ac:dyDescent="0.2">
      <c r="A593" s="1">
        <v>43258</v>
      </c>
      <c r="B593">
        <v>12</v>
      </c>
      <c r="C593">
        <v>20</v>
      </c>
      <c r="D593">
        <v>29</v>
      </c>
      <c r="E593">
        <v>31</v>
      </c>
      <c r="F593">
        <v>37</v>
      </c>
      <c r="G593">
        <v>39</v>
      </c>
      <c r="H593">
        <v>42</v>
      </c>
    </row>
    <row r="594" spans="1:8" x14ac:dyDescent="0.2">
      <c r="A594" s="1">
        <v>43255</v>
      </c>
      <c r="B594">
        <v>20</v>
      </c>
      <c r="C594">
        <v>22</v>
      </c>
      <c r="D594">
        <v>31</v>
      </c>
      <c r="E594">
        <v>37</v>
      </c>
      <c r="F594">
        <v>43</v>
      </c>
      <c r="G594">
        <v>45</v>
      </c>
      <c r="H594">
        <v>27</v>
      </c>
    </row>
    <row r="595" spans="1:8" x14ac:dyDescent="0.2">
      <c r="A595" s="1">
        <v>43251</v>
      </c>
      <c r="B595">
        <v>11</v>
      </c>
      <c r="C595">
        <v>13</v>
      </c>
      <c r="D595">
        <v>24</v>
      </c>
      <c r="E595">
        <v>26</v>
      </c>
      <c r="F595">
        <v>47</v>
      </c>
      <c r="G595">
        <v>49</v>
      </c>
      <c r="H595">
        <v>33</v>
      </c>
    </row>
    <row r="596" spans="1:8" x14ac:dyDescent="0.2">
      <c r="A596" s="1">
        <v>43248</v>
      </c>
      <c r="B596">
        <v>5</v>
      </c>
      <c r="C596">
        <v>9</v>
      </c>
      <c r="D596">
        <v>27</v>
      </c>
      <c r="E596">
        <v>28</v>
      </c>
      <c r="F596">
        <v>30</v>
      </c>
      <c r="G596">
        <v>44</v>
      </c>
      <c r="H596">
        <v>2</v>
      </c>
    </row>
    <row r="597" spans="1:8" x14ac:dyDescent="0.2">
      <c r="A597" s="1">
        <v>43244</v>
      </c>
      <c r="B597">
        <v>11</v>
      </c>
      <c r="C597">
        <v>25</v>
      </c>
      <c r="D597">
        <v>26</v>
      </c>
      <c r="E597">
        <v>34</v>
      </c>
      <c r="F597">
        <v>36</v>
      </c>
      <c r="G597">
        <v>42</v>
      </c>
      <c r="H597">
        <v>16</v>
      </c>
    </row>
    <row r="598" spans="1:8" x14ac:dyDescent="0.2">
      <c r="A598" s="1">
        <v>43241</v>
      </c>
      <c r="B598">
        <v>8</v>
      </c>
      <c r="C598">
        <v>10</v>
      </c>
      <c r="D598">
        <v>16</v>
      </c>
      <c r="E598">
        <v>30</v>
      </c>
      <c r="F598">
        <v>37</v>
      </c>
      <c r="G598">
        <v>44</v>
      </c>
      <c r="H598">
        <v>17</v>
      </c>
    </row>
    <row r="599" spans="1:8" x14ac:dyDescent="0.2">
      <c r="A599" s="1">
        <v>43237</v>
      </c>
      <c r="B599">
        <v>7</v>
      </c>
      <c r="C599">
        <v>21</v>
      </c>
      <c r="D599">
        <v>25</v>
      </c>
      <c r="E599">
        <v>29</v>
      </c>
      <c r="F599">
        <v>35</v>
      </c>
      <c r="G599">
        <v>37</v>
      </c>
      <c r="H599">
        <v>13</v>
      </c>
    </row>
    <row r="600" spans="1:8" x14ac:dyDescent="0.2">
      <c r="A600" s="1">
        <v>43234</v>
      </c>
      <c r="B600">
        <v>17</v>
      </c>
      <c r="C600">
        <v>24</v>
      </c>
      <c r="D600">
        <v>29</v>
      </c>
      <c r="E600">
        <v>45</v>
      </c>
      <c r="F600">
        <v>46</v>
      </c>
      <c r="G600">
        <v>49</v>
      </c>
      <c r="H600">
        <v>5</v>
      </c>
    </row>
    <row r="601" spans="1:8" x14ac:dyDescent="0.2">
      <c r="A601" s="1">
        <v>43230</v>
      </c>
      <c r="B601">
        <v>4</v>
      </c>
      <c r="C601">
        <v>14</v>
      </c>
      <c r="D601">
        <v>35</v>
      </c>
      <c r="E601">
        <v>38</v>
      </c>
      <c r="F601">
        <v>45</v>
      </c>
      <c r="G601">
        <v>47</v>
      </c>
      <c r="H601">
        <v>13</v>
      </c>
    </row>
    <row r="602" spans="1:8" x14ac:dyDescent="0.2">
      <c r="A602" s="1">
        <v>43227</v>
      </c>
      <c r="B602">
        <v>2</v>
      </c>
      <c r="C602">
        <v>7</v>
      </c>
      <c r="D602">
        <v>12</v>
      </c>
      <c r="E602">
        <v>15</v>
      </c>
      <c r="F602">
        <v>23</v>
      </c>
      <c r="G602">
        <v>44</v>
      </c>
      <c r="H602">
        <v>34</v>
      </c>
    </row>
    <row r="603" spans="1:8" x14ac:dyDescent="0.2">
      <c r="A603" s="1">
        <v>43223</v>
      </c>
      <c r="B603">
        <v>14</v>
      </c>
      <c r="C603">
        <v>23</v>
      </c>
      <c r="D603">
        <v>28</v>
      </c>
      <c r="E603">
        <v>30</v>
      </c>
      <c r="F603">
        <v>32</v>
      </c>
      <c r="G603">
        <v>48</v>
      </c>
      <c r="H603">
        <v>8</v>
      </c>
    </row>
    <row r="604" spans="1:8" x14ac:dyDescent="0.2">
      <c r="A604" s="1">
        <v>43220</v>
      </c>
      <c r="B604">
        <v>7</v>
      </c>
      <c r="C604">
        <v>13</v>
      </c>
      <c r="D604">
        <v>18</v>
      </c>
      <c r="E604">
        <v>21</v>
      </c>
      <c r="F604">
        <v>32</v>
      </c>
      <c r="G604">
        <v>35</v>
      </c>
      <c r="H604">
        <v>14</v>
      </c>
    </row>
    <row r="605" spans="1:8" x14ac:dyDescent="0.2">
      <c r="A605" s="1">
        <v>43216</v>
      </c>
      <c r="B605">
        <v>5</v>
      </c>
      <c r="C605">
        <v>14</v>
      </c>
      <c r="D605">
        <v>17</v>
      </c>
      <c r="E605">
        <v>25</v>
      </c>
      <c r="F605">
        <v>28</v>
      </c>
      <c r="G605">
        <v>46</v>
      </c>
      <c r="H605">
        <v>39</v>
      </c>
    </row>
    <row r="606" spans="1:8" x14ac:dyDescent="0.2">
      <c r="A606" s="1">
        <v>43213</v>
      </c>
      <c r="B606">
        <v>1</v>
      </c>
      <c r="C606">
        <v>30</v>
      </c>
      <c r="D606">
        <v>32</v>
      </c>
      <c r="E606">
        <v>36</v>
      </c>
      <c r="F606">
        <v>37</v>
      </c>
      <c r="G606">
        <v>41</v>
      </c>
      <c r="H606">
        <v>16</v>
      </c>
    </row>
    <row r="607" spans="1:8" x14ac:dyDescent="0.2">
      <c r="A607" s="1">
        <v>43209</v>
      </c>
      <c r="B607">
        <v>18</v>
      </c>
      <c r="C607">
        <v>22</v>
      </c>
      <c r="D607">
        <v>32</v>
      </c>
      <c r="E607">
        <v>35</v>
      </c>
      <c r="F607">
        <v>36</v>
      </c>
      <c r="G607">
        <v>44</v>
      </c>
      <c r="H607">
        <v>38</v>
      </c>
    </row>
    <row r="608" spans="1:8" x14ac:dyDescent="0.2">
      <c r="A608" s="1">
        <v>43206</v>
      </c>
      <c r="B608">
        <v>14</v>
      </c>
      <c r="C608">
        <v>22</v>
      </c>
      <c r="D608">
        <v>25</v>
      </c>
      <c r="E608">
        <v>27</v>
      </c>
      <c r="F608">
        <v>28</v>
      </c>
      <c r="G608">
        <v>29</v>
      </c>
      <c r="H608">
        <v>1</v>
      </c>
    </row>
    <row r="609" spans="1:8" x14ac:dyDescent="0.2">
      <c r="A609" s="1">
        <v>43202</v>
      </c>
      <c r="B609">
        <v>1</v>
      </c>
      <c r="C609">
        <v>7</v>
      </c>
      <c r="D609">
        <v>15</v>
      </c>
      <c r="E609">
        <v>27</v>
      </c>
      <c r="F609">
        <v>32</v>
      </c>
      <c r="G609">
        <v>38</v>
      </c>
      <c r="H609">
        <v>45</v>
      </c>
    </row>
    <row r="610" spans="1:8" x14ac:dyDescent="0.2">
      <c r="A610" s="1">
        <v>43199</v>
      </c>
      <c r="B610">
        <v>18</v>
      </c>
      <c r="C610">
        <v>36</v>
      </c>
      <c r="D610">
        <v>40</v>
      </c>
      <c r="E610">
        <v>41</v>
      </c>
      <c r="F610">
        <v>43</v>
      </c>
      <c r="G610">
        <v>49</v>
      </c>
      <c r="H610">
        <v>28</v>
      </c>
    </row>
    <row r="611" spans="1:8" x14ac:dyDescent="0.2">
      <c r="A611" s="1">
        <v>43195</v>
      </c>
      <c r="B611">
        <v>3</v>
      </c>
      <c r="C611">
        <v>5</v>
      </c>
      <c r="D611">
        <v>21</v>
      </c>
      <c r="E611">
        <v>30</v>
      </c>
      <c r="F611">
        <v>32</v>
      </c>
      <c r="G611">
        <v>40</v>
      </c>
      <c r="H611">
        <v>34</v>
      </c>
    </row>
    <row r="612" spans="1:8" x14ac:dyDescent="0.2">
      <c r="A612" s="1">
        <v>43192</v>
      </c>
      <c r="B612">
        <v>3</v>
      </c>
      <c r="C612">
        <v>12</v>
      </c>
      <c r="D612">
        <v>30</v>
      </c>
      <c r="E612">
        <v>39</v>
      </c>
      <c r="F612">
        <v>43</v>
      </c>
      <c r="G612">
        <v>48</v>
      </c>
      <c r="H612">
        <v>20</v>
      </c>
    </row>
    <row r="613" spans="1:8" x14ac:dyDescent="0.2">
      <c r="A613" s="1">
        <v>43188</v>
      </c>
      <c r="B613">
        <v>11</v>
      </c>
      <c r="C613">
        <v>15</v>
      </c>
      <c r="D613">
        <v>17</v>
      </c>
      <c r="E613">
        <v>21</v>
      </c>
      <c r="F613">
        <v>27</v>
      </c>
      <c r="G613">
        <v>33</v>
      </c>
      <c r="H613">
        <v>10</v>
      </c>
    </row>
    <row r="614" spans="1:8" x14ac:dyDescent="0.2">
      <c r="A614" s="1">
        <v>43185</v>
      </c>
      <c r="B614">
        <v>6</v>
      </c>
      <c r="C614">
        <v>13</v>
      </c>
      <c r="D614">
        <v>14</v>
      </c>
      <c r="E614">
        <v>27</v>
      </c>
      <c r="F614">
        <v>32</v>
      </c>
      <c r="G614">
        <v>36</v>
      </c>
      <c r="H614">
        <v>29</v>
      </c>
    </row>
    <row r="615" spans="1:8" x14ac:dyDescent="0.2">
      <c r="A615" s="1">
        <v>43181</v>
      </c>
      <c r="B615">
        <v>5</v>
      </c>
      <c r="C615">
        <v>6</v>
      </c>
      <c r="D615">
        <v>13</v>
      </c>
      <c r="E615">
        <v>21</v>
      </c>
      <c r="F615">
        <v>27</v>
      </c>
      <c r="G615">
        <v>47</v>
      </c>
      <c r="H615">
        <v>42</v>
      </c>
    </row>
    <row r="616" spans="1:8" x14ac:dyDescent="0.2">
      <c r="A616" s="1">
        <v>43178</v>
      </c>
      <c r="B616">
        <v>3</v>
      </c>
      <c r="C616">
        <v>18</v>
      </c>
      <c r="D616">
        <v>31</v>
      </c>
      <c r="E616">
        <v>39</v>
      </c>
      <c r="F616">
        <v>43</v>
      </c>
      <c r="G616">
        <v>46</v>
      </c>
      <c r="H616">
        <v>29</v>
      </c>
    </row>
    <row r="617" spans="1:8" x14ac:dyDescent="0.2">
      <c r="A617" s="1">
        <v>43174</v>
      </c>
      <c r="B617">
        <v>9</v>
      </c>
      <c r="C617">
        <v>16</v>
      </c>
      <c r="D617">
        <v>23</v>
      </c>
      <c r="E617">
        <v>25</v>
      </c>
      <c r="F617">
        <v>34</v>
      </c>
      <c r="G617">
        <v>40</v>
      </c>
      <c r="H617">
        <v>47</v>
      </c>
    </row>
    <row r="618" spans="1:8" x14ac:dyDescent="0.2">
      <c r="A618" s="1">
        <v>43171</v>
      </c>
      <c r="B618">
        <v>9</v>
      </c>
      <c r="C618">
        <v>12</v>
      </c>
      <c r="D618">
        <v>15</v>
      </c>
      <c r="E618">
        <v>16</v>
      </c>
      <c r="F618">
        <v>29</v>
      </c>
      <c r="G618">
        <v>44</v>
      </c>
      <c r="H618">
        <v>2</v>
      </c>
    </row>
    <row r="619" spans="1:8" x14ac:dyDescent="0.2">
      <c r="A619" s="1">
        <v>43167</v>
      </c>
      <c r="B619">
        <v>2</v>
      </c>
      <c r="C619">
        <v>10</v>
      </c>
      <c r="D619">
        <v>14</v>
      </c>
      <c r="E619">
        <v>24</v>
      </c>
      <c r="F619">
        <v>28</v>
      </c>
      <c r="G619">
        <v>40</v>
      </c>
      <c r="H619">
        <v>21</v>
      </c>
    </row>
    <row r="620" spans="1:8" x14ac:dyDescent="0.2">
      <c r="A620" s="1">
        <v>43164</v>
      </c>
      <c r="B620">
        <v>6</v>
      </c>
      <c r="C620">
        <v>15</v>
      </c>
      <c r="D620">
        <v>16</v>
      </c>
      <c r="E620">
        <v>30</v>
      </c>
      <c r="F620">
        <v>32</v>
      </c>
      <c r="G620">
        <v>39</v>
      </c>
      <c r="H620">
        <v>19</v>
      </c>
    </row>
    <row r="621" spans="1:8" x14ac:dyDescent="0.2">
      <c r="A621" s="1">
        <v>43161</v>
      </c>
      <c r="B621">
        <v>24</v>
      </c>
      <c r="C621">
        <v>28</v>
      </c>
      <c r="D621">
        <v>31</v>
      </c>
      <c r="E621">
        <v>37</v>
      </c>
      <c r="F621">
        <v>40</v>
      </c>
      <c r="G621">
        <v>49</v>
      </c>
      <c r="H621">
        <v>29</v>
      </c>
    </row>
    <row r="622" spans="1:8" x14ac:dyDescent="0.2">
      <c r="A622" s="1">
        <v>43157</v>
      </c>
      <c r="B622">
        <v>4</v>
      </c>
      <c r="C622">
        <v>9</v>
      </c>
      <c r="D622">
        <v>13</v>
      </c>
      <c r="E622">
        <v>15</v>
      </c>
      <c r="F622">
        <v>40</v>
      </c>
      <c r="G622">
        <v>44</v>
      </c>
      <c r="H622">
        <v>48</v>
      </c>
    </row>
    <row r="623" spans="1:8" x14ac:dyDescent="0.2">
      <c r="A623" s="1">
        <v>43153</v>
      </c>
      <c r="B623">
        <v>4</v>
      </c>
      <c r="C623">
        <v>12</v>
      </c>
      <c r="D623">
        <v>13</v>
      </c>
      <c r="E623">
        <v>15</v>
      </c>
      <c r="F623">
        <v>35</v>
      </c>
      <c r="G623">
        <v>46</v>
      </c>
      <c r="H623">
        <v>21</v>
      </c>
    </row>
    <row r="624" spans="1:8" x14ac:dyDescent="0.2">
      <c r="A624" s="1">
        <v>43150</v>
      </c>
      <c r="B624">
        <v>10</v>
      </c>
      <c r="C624">
        <v>21</v>
      </c>
      <c r="D624">
        <v>29</v>
      </c>
      <c r="E624">
        <v>34</v>
      </c>
      <c r="F624">
        <v>37</v>
      </c>
      <c r="G624">
        <v>43</v>
      </c>
      <c r="H624">
        <v>28</v>
      </c>
    </row>
    <row r="625" spans="1:8" x14ac:dyDescent="0.2">
      <c r="A625" s="1">
        <v>43146</v>
      </c>
      <c r="B625">
        <v>16</v>
      </c>
      <c r="C625">
        <v>18</v>
      </c>
      <c r="D625">
        <v>30</v>
      </c>
      <c r="E625">
        <v>31</v>
      </c>
      <c r="F625">
        <v>36</v>
      </c>
      <c r="G625">
        <v>41</v>
      </c>
      <c r="H625">
        <v>1</v>
      </c>
    </row>
    <row r="626" spans="1:8" x14ac:dyDescent="0.2">
      <c r="A626" s="1">
        <v>43143</v>
      </c>
      <c r="B626">
        <v>12</v>
      </c>
      <c r="C626">
        <v>14</v>
      </c>
      <c r="D626">
        <v>19</v>
      </c>
      <c r="E626">
        <v>23</v>
      </c>
      <c r="F626">
        <v>37</v>
      </c>
      <c r="G626">
        <v>41</v>
      </c>
      <c r="H626">
        <v>3</v>
      </c>
    </row>
    <row r="627" spans="1:8" x14ac:dyDescent="0.2">
      <c r="A627" s="1">
        <v>43140</v>
      </c>
      <c r="B627">
        <v>8</v>
      </c>
      <c r="C627">
        <v>15</v>
      </c>
      <c r="D627">
        <v>16</v>
      </c>
      <c r="E627">
        <v>23</v>
      </c>
      <c r="F627">
        <v>40</v>
      </c>
      <c r="G627">
        <v>49</v>
      </c>
      <c r="H627">
        <v>18</v>
      </c>
    </row>
    <row r="628" spans="1:8" x14ac:dyDescent="0.2">
      <c r="A628" s="1">
        <v>43136</v>
      </c>
      <c r="B628">
        <v>25</v>
      </c>
      <c r="C628">
        <v>33</v>
      </c>
      <c r="D628">
        <v>38</v>
      </c>
      <c r="E628">
        <v>40</v>
      </c>
      <c r="F628">
        <v>42</v>
      </c>
      <c r="G628">
        <v>48</v>
      </c>
      <c r="H628">
        <v>27</v>
      </c>
    </row>
    <row r="629" spans="1:8" x14ac:dyDescent="0.2">
      <c r="A629" s="1">
        <v>43132</v>
      </c>
      <c r="B629">
        <v>4</v>
      </c>
      <c r="C629">
        <v>15</v>
      </c>
      <c r="D629">
        <v>20</v>
      </c>
      <c r="E629">
        <v>22</v>
      </c>
      <c r="F629">
        <v>29</v>
      </c>
      <c r="G629">
        <v>32</v>
      </c>
      <c r="H629">
        <v>8</v>
      </c>
    </row>
    <row r="630" spans="1:8" x14ac:dyDescent="0.2">
      <c r="A630" s="1">
        <v>43129</v>
      </c>
      <c r="B630">
        <v>7</v>
      </c>
      <c r="C630">
        <v>14</v>
      </c>
      <c r="D630">
        <v>25</v>
      </c>
      <c r="E630">
        <v>32</v>
      </c>
      <c r="F630">
        <v>44</v>
      </c>
      <c r="G630">
        <v>48</v>
      </c>
      <c r="H630">
        <v>19</v>
      </c>
    </row>
    <row r="631" spans="1:8" x14ac:dyDescent="0.2">
      <c r="A631" s="1">
        <v>43125</v>
      </c>
      <c r="B631">
        <v>1</v>
      </c>
      <c r="C631">
        <v>15</v>
      </c>
      <c r="D631">
        <v>23</v>
      </c>
      <c r="E631">
        <v>25</v>
      </c>
      <c r="F631">
        <v>34</v>
      </c>
      <c r="G631">
        <v>47</v>
      </c>
      <c r="H631">
        <v>2</v>
      </c>
    </row>
    <row r="632" spans="1:8" x14ac:dyDescent="0.2">
      <c r="A632" s="1">
        <v>43122</v>
      </c>
      <c r="B632">
        <v>1</v>
      </c>
      <c r="C632">
        <v>2</v>
      </c>
      <c r="D632">
        <v>15</v>
      </c>
      <c r="E632">
        <v>29</v>
      </c>
      <c r="F632">
        <v>32</v>
      </c>
      <c r="G632">
        <v>49</v>
      </c>
      <c r="H632">
        <v>11</v>
      </c>
    </row>
    <row r="633" spans="1:8" x14ac:dyDescent="0.2">
      <c r="A633" s="1">
        <v>43118</v>
      </c>
      <c r="B633">
        <v>2</v>
      </c>
      <c r="C633">
        <v>6</v>
      </c>
      <c r="D633">
        <v>12</v>
      </c>
      <c r="E633">
        <v>17</v>
      </c>
      <c r="F633">
        <v>26</v>
      </c>
      <c r="G633">
        <v>40</v>
      </c>
      <c r="H633">
        <v>44</v>
      </c>
    </row>
    <row r="634" spans="1:8" x14ac:dyDescent="0.2">
      <c r="A634" s="1">
        <v>43115</v>
      </c>
      <c r="B634">
        <v>1</v>
      </c>
      <c r="C634">
        <v>2</v>
      </c>
      <c r="D634">
        <v>6</v>
      </c>
      <c r="E634">
        <v>28</v>
      </c>
      <c r="F634">
        <v>29</v>
      </c>
      <c r="G634">
        <v>49</v>
      </c>
      <c r="H634">
        <v>17</v>
      </c>
    </row>
    <row r="635" spans="1:8" x14ac:dyDescent="0.2">
      <c r="A635" s="1">
        <v>43111</v>
      </c>
      <c r="B635">
        <v>22</v>
      </c>
      <c r="C635">
        <v>24</v>
      </c>
      <c r="D635">
        <v>25</v>
      </c>
      <c r="E635">
        <v>40</v>
      </c>
      <c r="F635">
        <v>45</v>
      </c>
      <c r="G635">
        <v>49</v>
      </c>
      <c r="H635">
        <v>3</v>
      </c>
    </row>
    <row r="636" spans="1:8" x14ac:dyDescent="0.2">
      <c r="A636" s="1">
        <v>43108</v>
      </c>
      <c r="B636">
        <v>6</v>
      </c>
      <c r="C636">
        <v>10</v>
      </c>
      <c r="D636">
        <v>18</v>
      </c>
      <c r="E636">
        <v>36</v>
      </c>
      <c r="F636">
        <v>44</v>
      </c>
      <c r="G636">
        <v>45</v>
      </c>
      <c r="H636">
        <v>46</v>
      </c>
    </row>
    <row r="637" spans="1:8" x14ac:dyDescent="0.2">
      <c r="A637" s="1">
        <v>43105</v>
      </c>
      <c r="B637">
        <v>3</v>
      </c>
      <c r="C637">
        <v>4</v>
      </c>
      <c r="D637">
        <v>13</v>
      </c>
      <c r="E637">
        <v>19</v>
      </c>
      <c r="F637">
        <v>23</v>
      </c>
      <c r="G637">
        <v>47</v>
      </c>
      <c r="H637">
        <v>5</v>
      </c>
    </row>
    <row r="638" spans="1:8" x14ac:dyDescent="0.2">
      <c r="A638" s="1">
        <v>43101</v>
      </c>
      <c r="B638">
        <v>3</v>
      </c>
      <c r="C638">
        <v>9</v>
      </c>
      <c r="D638">
        <v>16</v>
      </c>
      <c r="E638">
        <v>34</v>
      </c>
      <c r="F638">
        <v>45</v>
      </c>
      <c r="G638">
        <v>46</v>
      </c>
      <c r="H638">
        <v>49</v>
      </c>
    </row>
    <row r="639" spans="1:8" x14ac:dyDescent="0.2">
      <c r="A639" s="1">
        <v>43097</v>
      </c>
      <c r="B639">
        <v>1</v>
      </c>
      <c r="C639">
        <v>3</v>
      </c>
      <c r="D639">
        <v>5</v>
      </c>
      <c r="E639">
        <v>16</v>
      </c>
      <c r="F639">
        <v>27</v>
      </c>
      <c r="G639">
        <v>40</v>
      </c>
      <c r="H639">
        <v>26</v>
      </c>
    </row>
    <row r="640" spans="1:8" x14ac:dyDescent="0.2">
      <c r="A640" s="1">
        <v>43094</v>
      </c>
      <c r="B640">
        <v>6</v>
      </c>
      <c r="C640">
        <v>7</v>
      </c>
      <c r="D640">
        <v>14</v>
      </c>
      <c r="E640">
        <v>17</v>
      </c>
      <c r="F640">
        <v>19</v>
      </c>
      <c r="G640">
        <v>29</v>
      </c>
      <c r="H640">
        <v>46</v>
      </c>
    </row>
    <row r="641" spans="1:8" x14ac:dyDescent="0.2">
      <c r="A641" s="1">
        <v>43090</v>
      </c>
      <c r="B641">
        <v>1</v>
      </c>
      <c r="C641">
        <v>2</v>
      </c>
      <c r="D641">
        <v>26</v>
      </c>
      <c r="E641">
        <v>27</v>
      </c>
      <c r="F641">
        <v>35</v>
      </c>
      <c r="G641">
        <v>43</v>
      </c>
      <c r="H641">
        <v>23</v>
      </c>
    </row>
    <row r="642" spans="1:8" x14ac:dyDescent="0.2">
      <c r="A642" s="1">
        <v>43087</v>
      </c>
      <c r="B642">
        <v>2</v>
      </c>
      <c r="C642">
        <v>6</v>
      </c>
      <c r="D642">
        <v>10</v>
      </c>
      <c r="E642">
        <v>19</v>
      </c>
      <c r="F642">
        <v>31</v>
      </c>
      <c r="G642">
        <v>35</v>
      </c>
      <c r="H642">
        <v>34</v>
      </c>
    </row>
    <row r="643" spans="1:8" x14ac:dyDescent="0.2">
      <c r="A643" s="1">
        <v>43083</v>
      </c>
      <c r="B643">
        <v>1</v>
      </c>
      <c r="C643">
        <v>9</v>
      </c>
      <c r="D643">
        <v>13</v>
      </c>
      <c r="E643">
        <v>33</v>
      </c>
      <c r="F643">
        <v>41</v>
      </c>
      <c r="G643">
        <v>48</v>
      </c>
      <c r="H643">
        <v>21</v>
      </c>
    </row>
    <row r="644" spans="1:8" x14ac:dyDescent="0.2">
      <c r="A644" s="1">
        <v>43080</v>
      </c>
      <c r="B644">
        <v>5</v>
      </c>
      <c r="C644">
        <v>12</v>
      </c>
      <c r="D644">
        <v>37</v>
      </c>
      <c r="E644">
        <v>39</v>
      </c>
      <c r="F644">
        <v>42</v>
      </c>
      <c r="G644">
        <v>43</v>
      </c>
      <c r="H644">
        <v>15</v>
      </c>
    </row>
    <row r="645" spans="1:8" x14ac:dyDescent="0.2">
      <c r="A645" s="1">
        <v>43076</v>
      </c>
      <c r="B645">
        <v>9</v>
      </c>
      <c r="C645">
        <v>10</v>
      </c>
      <c r="D645">
        <v>25</v>
      </c>
      <c r="E645">
        <v>37</v>
      </c>
      <c r="F645">
        <v>45</v>
      </c>
      <c r="G645">
        <v>46</v>
      </c>
      <c r="H645">
        <v>40</v>
      </c>
    </row>
    <row r="646" spans="1:8" x14ac:dyDescent="0.2">
      <c r="A646" s="1">
        <v>43073</v>
      </c>
      <c r="B646">
        <v>4</v>
      </c>
      <c r="C646">
        <v>5</v>
      </c>
      <c r="D646">
        <v>19</v>
      </c>
      <c r="E646">
        <v>38</v>
      </c>
      <c r="F646">
        <v>39</v>
      </c>
      <c r="G646">
        <v>40</v>
      </c>
      <c r="H646">
        <v>26</v>
      </c>
    </row>
    <row r="647" spans="1:8" x14ac:dyDescent="0.2">
      <c r="A647" s="1">
        <v>43069</v>
      </c>
      <c r="B647">
        <v>17</v>
      </c>
      <c r="C647">
        <v>22</v>
      </c>
      <c r="D647">
        <v>29</v>
      </c>
      <c r="E647">
        <v>36</v>
      </c>
      <c r="F647">
        <v>38</v>
      </c>
      <c r="G647">
        <v>47</v>
      </c>
      <c r="H647">
        <v>46</v>
      </c>
    </row>
    <row r="648" spans="1:8" x14ac:dyDescent="0.2">
      <c r="A648" s="1">
        <v>43066</v>
      </c>
      <c r="B648">
        <v>7</v>
      </c>
      <c r="C648">
        <v>8</v>
      </c>
      <c r="D648">
        <v>23</v>
      </c>
      <c r="E648">
        <v>30</v>
      </c>
      <c r="F648">
        <v>42</v>
      </c>
      <c r="G648">
        <v>48</v>
      </c>
      <c r="H648">
        <v>38</v>
      </c>
    </row>
    <row r="649" spans="1:8" x14ac:dyDescent="0.2">
      <c r="A649" s="1">
        <v>43062</v>
      </c>
      <c r="B649">
        <v>11</v>
      </c>
      <c r="C649">
        <v>14</v>
      </c>
      <c r="D649">
        <v>41</v>
      </c>
      <c r="E649">
        <v>46</v>
      </c>
      <c r="F649">
        <v>47</v>
      </c>
      <c r="G649">
        <v>49</v>
      </c>
      <c r="H649">
        <v>48</v>
      </c>
    </row>
    <row r="650" spans="1:8" x14ac:dyDescent="0.2">
      <c r="A650" s="1">
        <v>43059</v>
      </c>
      <c r="B650">
        <v>9</v>
      </c>
      <c r="C650">
        <v>11</v>
      </c>
      <c r="D650">
        <v>13</v>
      </c>
      <c r="E650">
        <v>18</v>
      </c>
      <c r="F650">
        <v>20</v>
      </c>
      <c r="G650">
        <v>34</v>
      </c>
      <c r="H650">
        <v>27</v>
      </c>
    </row>
    <row r="651" spans="1:8" x14ac:dyDescent="0.2">
      <c r="A651" s="1">
        <v>43055</v>
      </c>
      <c r="B651">
        <v>11</v>
      </c>
      <c r="C651">
        <v>13</v>
      </c>
      <c r="D651">
        <v>16</v>
      </c>
      <c r="E651">
        <v>27</v>
      </c>
      <c r="F651">
        <v>34</v>
      </c>
      <c r="G651">
        <v>48</v>
      </c>
      <c r="H651">
        <v>30</v>
      </c>
    </row>
    <row r="652" spans="1:8" x14ac:dyDescent="0.2">
      <c r="A652" s="1">
        <v>43052</v>
      </c>
      <c r="B652">
        <v>3</v>
      </c>
      <c r="C652">
        <v>19</v>
      </c>
      <c r="D652">
        <v>21</v>
      </c>
      <c r="E652">
        <v>35</v>
      </c>
      <c r="F652">
        <v>37</v>
      </c>
      <c r="G652">
        <v>44</v>
      </c>
      <c r="H652">
        <v>26</v>
      </c>
    </row>
    <row r="653" spans="1:8" x14ac:dyDescent="0.2">
      <c r="A653" s="1">
        <v>43048</v>
      </c>
      <c r="B653">
        <v>22</v>
      </c>
      <c r="C653">
        <v>31</v>
      </c>
      <c r="D653">
        <v>33</v>
      </c>
      <c r="E653">
        <v>41</v>
      </c>
      <c r="F653">
        <v>44</v>
      </c>
      <c r="G653">
        <v>47</v>
      </c>
      <c r="H653">
        <v>24</v>
      </c>
    </row>
    <row r="654" spans="1:8" x14ac:dyDescent="0.2">
      <c r="A654" s="1">
        <v>43045</v>
      </c>
      <c r="B654">
        <v>2</v>
      </c>
      <c r="C654">
        <v>8</v>
      </c>
      <c r="D654">
        <v>11</v>
      </c>
      <c r="E654">
        <v>15</v>
      </c>
      <c r="F654">
        <v>19</v>
      </c>
      <c r="G654">
        <v>32</v>
      </c>
      <c r="H654">
        <v>47</v>
      </c>
    </row>
    <row r="655" spans="1:8" x14ac:dyDescent="0.2">
      <c r="A655" s="1">
        <v>43041</v>
      </c>
      <c r="B655">
        <v>7</v>
      </c>
      <c r="C655">
        <v>17</v>
      </c>
      <c r="D655">
        <v>18</v>
      </c>
      <c r="E655">
        <v>30</v>
      </c>
      <c r="F655">
        <v>32</v>
      </c>
      <c r="G655">
        <v>47</v>
      </c>
      <c r="H655">
        <v>39</v>
      </c>
    </row>
    <row r="656" spans="1:8" x14ac:dyDescent="0.2">
      <c r="A656" s="1">
        <v>43038</v>
      </c>
      <c r="B656">
        <v>8</v>
      </c>
      <c r="C656">
        <v>20</v>
      </c>
      <c r="D656">
        <v>30</v>
      </c>
      <c r="E656">
        <v>43</v>
      </c>
      <c r="F656">
        <v>46</v>
      </c>
      <c r="G656">
        <v>48</v>
      </c>
      <c r="H656">
        <v>18</v>
      </c>
    </row>
    <row r="657" spans="1:8" x14ac:dyDescent="0.2">
      <c r="A657" s="1">
        <v>43034</v>
      </c>
      <c r="B657">
        <v>3</v>
      </c>
      <c r="C657">
        <v>10</v>
      </c>
      <c r="D657">
        <v>25</v>
      </c>
      <c r="E657">
        <v>32</v>
      </c>
      <c r="F657">
        <v>36</v>
      </c>
      <c r="G657">
        <v>37</v>
      </c>
      <c r="H657">
        <v>6</v>
      </c>
    </row>
    <row r="658" spans="1:8" x14ac:dyDescent="0.2">
      <c r="A658" s="1">
        <v>43031</v>
      </c>
      <c r="B658">
        <v>2</v>
      </c>
      <c r="C658">
        <v>9</v>
      </c>
      <c r="D658">
        <v>23</v>
      </c>
      <c r="E658">
        <v>35</v>
      </c>
      <c r="F658">
        <v>38</v>
      </c>
      <c r="G658">
        <v>48</v>
      </c>
      <c r="H658">
        <v>20</v>
      </c>
    </row>
    <row r="659" spans="1:8" x14ac:dyDescent="0.2">
      <c r="A659" s="1">
        <v>43027</v>
      </c>
      <c r="B659">
        <v>2</v>
      </c>
      <c r="C659">
        <v>4</v>
      </c>
      <c r="D659">
        <v>15</v>
      </c>
      <c r="E659">
        <v>20</v>
      </c>
      <c r="F659">
        <v>26</v>
      </c>
      <c r="G659">
        <v>28</v>
      </c>
      <c r="H659">
        <v>24</v>
      </c>
    </row>
    <row r="660" spans="1:8" x14ac:dyDescent="0.2">
      <c r="A660" s="1">
        <v>43024</v>
      </c>
      <c r="B660">
        <v>6</v>
      </c>
      <c r="C660">
        <v>11</v>
      </c>
      <c r="D660">
        <v>12</v>
      </c>
      <c r="E660">
        <v>34</v>
      </c>
      <c r="F660">
        <v>36</v>
      </c>
      <c r="G660">
        <v>49</v>
      </c>
      <c r="H660">
        <v>3</v>
      </c>
    </row>
    <row r="661" spans="1:8" x14ac:dyDescent="0.2">
      <c r="A661" s="1">
        <v>43020</v>
      </c>
      <c r="B661">
        <v>6</v>
      </c>
      <c r="C661">
        <v>14</v>
      </c>
      <c r="D661">
        <v>17</v>
      </c>
      <c r="E661">
        <v>21</v>
      </c>
      <c r="F661">
        <v>22</v>
      </c>
      <c r="G661">
        <v>37</v>
      </c>
      <c r="H661">
        <v>15</v>
      </c>
    </row>
    <row r="662" spans="1:8" x14ac:dyDescent="0.2">
      <c r="A662" s="1">
        <v>43017</v>
      </c>
      <c r="B662">
        <v>6</v>
      </c>
      <c r="C662">
        <v>14</v>
      </c>
      <c r="D662">
        <v>17</v>
      </c>
      <c r="E662">
        <v>40</v>
      </c>
      <c r="F662">
        <v>43</v>
      </c>
      <c r="G662">
        <v>49</v>
      </c>
      <c r="H662">
        <v>48</v>
      </c>
    </row>
    <row r="663" spans="1:8" x14ac:dyDescent="0.2">
      <c r="A663" s="1">
        <v>43013</v>
      </c>
      <c r="B663">
        <v>9</v>
      </c>
      <c r="C663">
        <v>19</v>
      </c>
      <c r="D663">
        <v>23</v>
      </c>
      <c r="E663">
        <v>36</v>
      </c>
      <c r="F663">
        <v>40</v>
      </c>
      <c r="G663">
        <v>44</v>
      </c>
      <c r="H663">
        <v>20</v>
      </c>
    </row>
    <row r="664" spans="1:8" x14ac:dyDescent="0.2">
      <c r="A664" s="1">
        <v>43010</v>
      </c>
      <c r="B664">
        <v>2</v>
      </c>
      <c r="C664">
        <v>8</v>
      </c>
      <c r="D664">
        <v>17</v>
      </c>
      <c r="E664">
        <v>18</v>
      </c>
      <c r="F664">
        <v>23</v>
      </c>
      <c r="G664">
        <v>42</v>
      </c>
      <c r="H664">
        <v>1</v>
      </c>
    </row>
    <row r="665" spans="1:8" x14ac:dyDescent="0.2">
      <c r="A665" s="1">
        <v>43006</v>
      </c>
      <c r="B665">
        <v>11</v>
      </c>
      <c r="C665">
        <v>12</v>
      </c>
      <c r="D665">
        <v>26</v>
      </c>
      <c r="E665">
        <v>27</v>
      </c>
      <c r="F665">
        <v>29</v>
      </c>
      <c r="G665">
        <v>33</v>
      </c>
      <c r="H665">
        <v>10</v>
      </c>
    </row>
    <row r="666" spans="1:8" x14ac:dyDescent="0.2">
      <c r="A666" s="1">
        <v>43003</v>
      </c>
      <c r="B666">
        <v>7</v>
      </c>
      <c r="C666">
        <v>18</v>
      </c>
      <c r="D666">
        <v>26</v>
      </c>
      <c r="E666">
        <v>34</v>
      </c>
      <c r="F666">
        <v>41</v>
      </c>
      <c r="G666">
        <v>48</v>
      </c>
      <c r="H666">
        <v>8</v>
      </c>
    </row>
    <row r="667" spans="1:8" x14ac:dyDescent="0.2">
      <c r="A667" s="1">
        <v>42999</v>
      </c>
      <c r="B667">
        <v>9</v>
      </c>
      <c r="C667">
        <v>14</v>
      </c>
      <c r="D667">
        <v>15</v>
      </c>
      <c r="E667">
        <v>28</v>
      </c>
      <c r="F667">
        <v>35</v>
      </c>
      <c r="G667">
        <v>37</v>
      </c>
      <c r="H667">
        <v>2</v>
      </c>
    </row>
    <row r="668" spans="1:8" x14ac:dyDescent="0.2">
      <c r="A668" s="1">
        <v>42996</v>
      </c>
      <c r="B668">
        <v>3</v>
      </c>
      <c r="C668">
        <v>15</v>
      </c>
      <c r="D668">
        <v>22</v>
      </c>
      <c r="E668">
        <v>24</v>
      </c>
      <c r="F668">
        <v>32</v>
      </c>
      <c r="G668">
        <v>43</v>
      </c>
      <c r="H668">
        <v>35</v>
      </c>
    </row>
    <row r="669" spans="1:8" x14ac:dyDescent="0.2">
      <c r="A669" s="1">
        <v>42992</v>
      </c>
      <c r="B669">
        <v>12</v>
      </c>
      <c r="C669">
        <v>15</v>
      </c>
      <c r="D669">
        <v>29</v>
      </c>
      <c r="E669">
        <v>36</v>
      </c>
      <c r="F669">
        <v>40</v>
      </c>
      <c r="G669">
        <v>45</v>
      </c>
      <c r="H669">
        <v>16</v>
      </c>
    </row>
    <row r="670" spans="1:8" x14ac:dyDescent="0.2">
      <c r="A670" s="1">
        <v>42989</v>
      </c>
      <c r="B670">
        <v>7</v>
      </c>
      <c r="C670">
        <v>14</v>
      </c>
      <c r="D670">
        <v>17</v>
      </c>
      <c r="E670">
        <v>18</v>
      </c>
      <c r="F670">
        <v>44</v>
      </c>
      <c r="G670">
        <v>48</v>
      </c>
      <c r="H670">
        <v>2</v>
      </c>
    </row>
    <row r="671" spans="1:8" x14ac:dyDescent="0.2">
      <c r="A671" s="1">
        <v>42985</v>
      </c>
      <c r="B671">
        <v>13</v>
      </c>
      <c r="C671">
        <v>19</v>
      </c>
      <c r="D671">
        <v>20</v>
      </c>
      <c r="E671">
        <v>21</v>
      </c>
      <c r="F671">
        <v>32</v>
      </c>
      <c r="G671">
        <v>49</v>
      </c>
      <c r="H671">
        <v>27</v>
      </c>
    </row>
    <row r="672" spans="1:8" x14ac:dyDescent="0.2">
      <c r="A672" s="1">
        <v>42982</v>
      </c>
      <c r="B672">
        <v>10</v>
      </c>
      <c r="C672">
        <v>11</v>
      </c>
      <c r="D672">
        <v>22</v>
      </c>
      <c r="E672">
        <v>36</v>
      </c>
      <c r="F672">
        <v>38</v>
      </c>
      <c r="G672">
        <v>46</v>
      </c>
      <c r="H672">
        <v>13</v>
      </c>
    </row>
    <row r="673" spans="1:8" x14ac:dyDescent="0.2">
      <c r="A673" s="1">
        <v>42978</v>
      </c>
      <c r="B673">
        <v>3</v>
      </c>
      <c r="C673">
        <v>36</v>
      </c>
      <c r="D673">
        <v>39</v>
      </c>
      <c r="E673">
        <v>40</v>
      </c>
      <c r="F673">
        <v>44</v>
      </c>
      <c r="G673">
        <v>47</v>
      </c>
      <c r="H673">
        <v>14</v>
      </c>
    </row>
    <row r="674" spans="1:8" x14ac:dyDescent="0.2">
      <c r="A674" s="1">
        <v>42975</v>
      </c>
      <c r="B674">
        <v>1</v>
      </c>
      <c r="C674">
        <v>21</v>
      </c>
      <c r="D674">
        <v>29</v>
      </c>
      <c r="E674">
        <v>35</v>
      </c>
      <c r="F674">
        <v>39</v>
      </c>
      <c r="G674">
        <v>46</v>
      </c>
      <c r="H674">
        <v>8</v>
      </c>
    </row>
    <row r="675" spans="1:8" x14ac:dyDescent="0.2">
      <c r="A675" s="1">
        <v>42971</v>
      </c>
      <c r="B675">
        <v>11</v>
      </c>
      <c r="C675">
        <v>17</v>
      </c>
      <c r="D675">
        <v>26</v>
      </c>
      <c r="E675">
        <v>30</v>
      </c>
      <c r="F675">
        <v>32</v>
      </c>
      <c r="G675">
        <v>39</v>
      </c>
      <c r="H675">
        <v>33</v>
      </c>
    </row>
    <row r="676" spans="1:8" x14ac:dyDescent="0.2">
      <c r="A676" s="1">
        <v>42968</v>
      </c>
      <c r="B676">
        <v>4</v>
      </c>
      <c r="C676">
        <v>7</v>
      </c>
      <c r="D676">
        <v>12</v>
      </c>
      <c r="E676">
        <v>18</v>
      </c>
      <c r="F676">
        <v>42</v>
      </c>
      <c r="G676">
        <v>47</v>
      </c>
      <c r="H676">
        <v>41</v>
      </c>
    </row>
    <row r="677" spans="1:8" x14ac:dyDescent="0.2">
      <c r="A677" s="1">
        <v>42964</v>
      </c>
      <c r="B677">
        <v>11</v>
      </c>
      <c r="C677">
        <v>15</v>
      </c>
      <c r="D677">
        <v>29</v>
      </c>
      <c r="E677">
        <v>39</v>
      </c>
      <c r="F677">
        <v>41</v>
      </c>
      <c r="G677">
        <v>47</v>
      </c>
      <c r="H677">
        <v>25</v>
      </c>
    </row>
    <row r="678" spans="1:8" x14ac:dyDescent="0.2">
      <c r="A678" s="1">
        <v>42961</v>
      </c>
      <c r="B678">
        <v>2</v>
      </c>
      <c r="C678">
        <v>8</v>
      </c>
      <c r="D678">
        <v>17</v>
      </c>
      <c r="E678">
        <v>22</v>
      </c>
      <c r="F678">
        <v>39</v>
      </c>
      <c r="G678">
        <v>46</v>
      </c>
      <c r="H678">
        <v>6</v>
      </c>
    </row>
    <row r="679" spans="1:8" x14ac:dyDescent="0.2">
      <c r="A679" s="1">
        <v>42957</v>
      </c>
      <c r="B679">
        <v>1</v>
      </c>
      <c r="C679">
        <v>31</v>
      </c>
      <c r="D679">
        <v>39</v>
      </c>
      <c r="E679">
        <v>45</v>
      </c>
      <c r="F679">
        <v>46</v>
      </c>
      <c r="G679">
        <v>49</v>
      </c>
      <c r="H679">
        <v>34</v>
      </c>
    </row>
    <row r="680" spans="1:8" x14ac:dyDescent="0.2">
      <c r="A680" s="1">
        <v>42954</v>
      </c>
      <c r="B680">
        <v>5</v>
      </c>
      <c r="C680">
        <v>17</v>
      </c>
      <c r="D680">
        <v>34</v>
      </c>
      <c r="E680">
        <v>40</v>
      </c>
      <c r="F680">
        <v>42</v>
      </c>
      <c r="G680">
        <v>46</v>
      </c>
      <c r="H680">
        <v>22</v>
      </c>
    </row>
    <row r="681" spans="1:8" x14ac:dyDescent="0.2">
      <c r="A681" s="1">
        <v>42950</v>
      </c>
      <c r="B681">
        <v>14</v>
      </c>
      <c r="C681">
        <v>19</v>
      </c>
      <c r="D681">
        <v>22</v>
      </c>
      <c r="E681">
        <v>27</v>
      </c>
      <c r="F681">
        <v>32</v>
      </c>
      <c r="G681">
        <v>36</v>
      </c>
      <c r="H681">
        <v>40</v>
      </c>
    </row>
    <row r="682" spans="1:8" x14ac:dyDescent="0.2">
      <c r="A682" s="1">
        <v>42947</v>
      </c>
      <c r="B682">
        <v>11</v>
      </c>
      <c r="C682">
        <v>13</v>
      </c>
      <c r="D682">
        <v>14</v>
      </c>
      <c r="E682">
        <v>16</v>
      </c>
      <c r="F682">
        <v>30</v>
      </c>
      <c r="G682">
        <v>43</v>
      </c>
      <c r="H682">
        <v>47</v>
      </c>
    </row>
    <row r="683" spans="1:8" x14ac:dyDescent="0.2">
      <c r="A683" s="1">
        <v>42943</v>
      </c>
      <c r="B683">
        <v>14</v>
      </c>
      <c r="C683">
        <v>20</v>
      </c>
      <c r="D683">
        <v>24</v>
      </c>
      <c r="E683">
        <v>33</v>
      </c>
      <c r="F683">
        <v>37</v>
      </c>
      <c r="G683">
        <v>41</v>
      </c>
      <c r="H683">
        <v>18</v>
      </c>
    </row>
    <row r="684" spans="1:8" x14ac:dyDescent="0.2">
      <c r="A684" s="1">
        <v>42940</v>
      </c>
      <c r="B684">
        <v>2</v>
      </c>
      <c r="C684">
        <v>22</v>
      </c>
      <c r="D684">
        <v>23</v>
      </c>
      <c r="E684">
        <v>32</v>
      </c>
      <c r="F684">
        <v>35</v>
      </c>
      <c r="G684">
        <v>41</v>
      </c>
      <c r="H684">
        <v>7</v>
      </c>
    </row>
    <row r="685" spans="1:8" x14ac:dyDescent="0.2">
      <c r="A685" s="1">
        <v>42936</v>
      </c>
      <c r="B685">
        <v>8</v>
      </c>
      <c r="C685">
        <v>11</v>
      </c>
      <c r="D685">
        <v>35</v>
      </c>
      <c r="E685">
        <v>39</v>
      </c>
      <c r="F685">
        <v>41</v>
      </c>
      <c r="G685">
        <v>43</v>
      </c>
      <c r="H685">
        <v>13</v>
      </c>
    </row>
    <row r="686" spans="1:8" x14ac:dyDescent="0.2">
      <c r="A686" s="1">
        <v>42933</v>
      </c>
      <c r="B686">
        <v>9</v>
      </c>
      <c r="C686">
        <v>11</v>
      </c>
      <c r="D686">
        <v>16</v>
      </c>
      <c r="E686">
        <v>20</v>
      </c>
      <c r="F686">
        <v>27</v>
      </c>
      <c r="G686">
        <v>46</v>
      </c>
      <c r="H686">
        <v>39</v>
      </c>
    </row>
    <row r="687" spans="1:8" x14ac:dyDescent="0.2">
      <c r="A687" s="1">
        <v>42929</v>
      </c>
      <c r="B687">
        <v>24</v>
      </c>
      <c r="C687">
        <v>30</v>
      </c>
      <c r="D687">
        <v>33</v>
      </c>
      <c r="E687">
        <v>34</v>
      </c>
      <c r="F687">
        <v>47</v>
      </c>
      <c r="G687">
        <v>49</v>
      </c>
      <c r="H687">
        <v>12</v>
      </c>
    </row>
    <row r="688" spans="1:8" x14ac:dyDescent="0.2">
      <c r="A688" s="1">
        <v>42926</v>
      </c>
      <c r="B688">
        <v>11</v>
      </c>
      <c r="C688">
        <v>16</v>
      </c>
      <c r="D688">
        <v>31</v>
      </c>
      <c r="E688">
        <v>35</v>
      </c>
      <c r="F688">
        <v>46</v>
      </c>
      <c r="G688">
        <v>48</v>
      </c>
      <c r="H688">
        <v>41</v>
      </c>
    </row>
    <row r="689" spans="1:8" x14ac:dyDescent="0.2">
      <c r="A689" s="1">
        <v>42922</v>
      </c>
      <c r="B689">
        <v>2</v>
      </c>
      <c r="C689">
        <v>4</v>
      </c>
      <c r="D689">
        <v>7</v>
      </c>
      <c r="E689">
        <v>26</v>
      </c>
      <c r="F689">
        <v>40</v>
      </c>
      <c r="G689">
        <v>47</v>
      </c>
      <c r="H689">
        <v>35</v>
      </c>
    </row>
    <row r="690" spans="1:8" x14ac:dyDescent="0.2">
      <c r="A690" s="1">
        <v>42919</v>
      </c>
      <c r="B690">
        <v>5</v>
      </c>
      <c r="C690">
        <v>7</v>
      </c>
      <c r="D690">
        <v>9</v>
      </c>
      <c r="E690">
        <v>27</v>
      </c>
      <c r="F690">
        <v>31</v>
      </c>
      <c r="G690">
        <v>34</v>
      </c>
      <c r="H690">
        <v>40</v>
      </c>
    </row>
    <row r="691" spans="1:8" x14ac:dyDescent="0.2">
      <c r="A691" s="1">
        <v>42915</v>
      </c>
      <c r="B691">
        <v>2</v>
      </c>
      <c r="C691">
        <v>9</v>
      </c>
      <c r="D691">
        <v>13</v>
      </c>
      <c r="E691">
        <v>16</v>
      </c>
      <c r="F691">
        <v>29</v>
      </c>
      <c r="G691">
        <v>40</v>
      </c>
      <c r="H691">
        <v>46</v>
      </c>
    </row>
    <row r="692" spans="1:8" x14ac:dyDescent="0.2">
      <c r="A692" s="1">
        <v>42912</v>
      </c>
      <c r="B692">
        <v>14</v>
      </c>
      <c r="C692">
        <v>20</v>
      </c>
      <c r="D692">
        <v>21</v>
      </c>
      <c r="E692">
        <v>23</v>
      </c>
      <c r="F692">
        <v>25</v>
      </c>
      <c r="G692">
        <v>37</v>
      </c>
      <c r="H692">
        <v>15</v>
      </c>
    </row>
    <row r="693" spans="1:8" x14ac:dyDescent="0.2">
      <c r="A693" s="1">
        <v>42908</v>
      </c>
      <c r="B693">
        <v>4</v>
      </c>
      <c r="C693">
        <v>5</v>
      </c>
      <c r="D693">
        <v>12</v>
      </c>
      <c r="E693">
        <v>20</v>
      </c>
      <c r="F693">
        <v>47</v>
      </c>
      <c r="G693">
        <v>49</v>
      </c>
      <c r="H693">
        <v>25</v>
      </c>
    </row>
    <row r="694" spans="1:8" x14ac:dyDescent="0.2">
      <c r="A694" s="1">
        <v>42905</v>
      </c>
      <c r="B694">
        <v>1</v>
      </c>
      <c r="C694">
        <v>23</v>
      </c>
      <c r="D694">
        <v>30</v>
      </c>
      <c r="E694">
        <v>34</v>
      </c>
      <c r="F694">
        <v>40</v>
      </c>
      <c r="G694">
        <v>42</v>
      </c>
      <c r="H694">
        <v>14</v>
      </c>
    </row>
    <row r="695" spans="1:8" x14ac:dyDescent="0.2">
      <c r="A695" s="1">
        <v>42901</v>
      </c>
      <c r="B695">
        <v>20</v>
      </c>
      <c r="C695">
        <v>21</v>
      </c>
      <c r="D695">
        <v>23</v>
      </c>
      <c r="E695">
        <v>37</v>
      </c>
      <c r="F695">
        <v>39</v>
      </c>
      <c r="G695">
        <v>47</v>
      </c>
      <c r="H695">
        <v>31</v>
      </c>
    </row>
    <row r="696" spans="1:8" x14ac:dyDescent="0.2">
      <c r="A696" s="1">
        <v>42898</v>
      </c>
      <c r="B696">
        <v>9</v>
      </c>
      <c r="C696">
        <v>10</v>
      </c>
      <c r="D696">
        <v>19</v>
      </c>
      <c r="E696">
        <v>21</v>
      </c>
      <c r="F696">
        <v>23</v>
      </c>
      <c r="G696">
        <v>43</v>
      </c>
      <c r="H696">
        <v>15</v>
      </c>
    </row>
    <row r="697" spans="1:8" x14ac:dyDescent="0.2">
      <c r="A697" s="1">
        <v>42894</v>
      </c>
      <c r="B697">
        <v>5</v>
      </c>
      <c r="C697">
        <v>7</v>
      </c>
      <c r="D697">
        <v>22</v>
      </c>
      <c r="E697">
        <v>25</v>
      </c>
      <c r="F697">
        <v>34</v>
      </c>
      <c r="G697">
        <v>40</v>
      </c>
      <c r="H697">
        <v>1</v>
      </c>
    </row>
    <row r="698" spans="1:8" x14ac:dyDescent="0.2">
      <c r="A698" s="1">
        <v>42891</v>
      </c>
      <c r="B698">
        <v>15</v>
      </c>
      <c r="C698">
        <v>21</v>
      </c>
      <c r="D698">
        <v>23</v>
      </c>
      <c r="E698">
        <v>24</v>
      </c>
      <c r="F698">
        <v>39</v>
      </c>
      <c r="G698">
        <v>40</v>
      </c>
      <c r="H698">
        <v>18</v>
      </c>
    </row>
    <row r="699" spans="1:8" x14ac:dyDescent="0.2">
      <c r="A699" s="1">
        <v>42887</v>
      </c>
      <c r="B699">
        <v>9</v>
      </c>
      <c r="C699">
        <v>15</v>
      </c>
      <c r="D699">
        <v>17</v>
      </c>
      <c r="E699">
        <v>22</v>
      </c>
      <c r="F699">
        <v>44</v>
      </c>
      <c r="G699">
        <v>46</v>
      </c>
      <c r="H699">
        <v>2</v>
      </c>
    </row>
    <row r="700" spans="1:8" x14ac:dyDescent="0.2">
      <c r="A700" s="1">
        <v>42884</v>
      </c>
      <c r="B700">
        <v>13</v>
      </c>
      <c r="C700">
        <v>15</v>
      </c>
      <c r="D700">
        <v>16</v>
      </c>
      <c r="E700">
        <v>27</v>
      </c>
      <c r="F700">
        <v>36</v>
      </c>
      <c r="G700">
        <v>47</v>
      </c>
      <c r="H700">
        <v>24</v>
      </c>
    </row>
    <row r="701" spans="1:8" x14ac:dyDescent="0.2">
      <c r="A701" s="1">
        <v>42880</v>
      </c>
      <c r="B701">
        <v>3</v>
      </c>
      <c r="C701">
        <v>8</v>
      </c>
      <c r="D701">
        <v>11</v>
      </c>
      <c r="E701">
        <v>32</v>
      </c>
      <c r="F701">
        <v>44</v>
      </c>
      <c r="G701">
        <v>46</v>
      </c>
      <c r="H701">
        <v>12</v>
      </c>
    </row>
    <row r="702" spans="1:8" x14ac:dyDescent="0.2">
      <c r="A702" s="1">
        <v>42877</v>
      </c>
      <c r="B702">
        <v>21</v>
      </c>
      <c r="C702">
        <v>24</v>
      </c>
      <c r="D702">
        <v>31</v>
      </c>
      <c r="E702">
        <v>34</v>
      </c>
      <c r="F702">
        <v>37</v>
      </c>
      <c r="G702">
        <v>44</v>
      </c>
      <c r="H702">
        <v>45</v>
      </c>
    </row>
    <row r="703" spans="1:8" x14ac:dyDescent="0.2">
      <c r="A703" s="1">
        <v>42873</v>
      </c>
      <c r="B703">
        <v>4</v>
      </c>
      <c r="C703">
        <v>23</v>
      </c>
      <c r="D703">
        <v>43</v>
      </c>
      <c r="E703">
        <v>44</v>
      </c>
      <c r="F703">
        <v>46</v>
      </c>
      <c r="G703">
        <v>48</v>
      </c>
      <c r="H703">
        <v>16</v>
      </c>
    </row>
    <row r="704" spans="1:8" x14ac:dyDescent="0.2">
      <c r="A704" s="1">
        <v>42870</v>
      </c>
      <c r="B704">
        <v>8</v>
      </c>
      <c r="C704">
        <v>14</v>
      </c>
      <c r="D704">
        <v>16</v>
      </c>
      <c r="E704">
        <v>23</v>
      </c>
      <c r="F704">
        <v>24</v>
      </c>
      <c r="G704">
        <v>27</v>
      </c>
      <c r="H704">
        <v>5</v>
      </c>
    </row>
    <row r="705" spans="1:8" x14ac:dyDescent="0.2">
      <c r="A705" s="1">
        <v>42866</v>
      </c>
      <c r="B705">
        <v>8</v>
      </c>
      <c r="C705">
        <v>9</v>
      </c>
      <c r="D705">
        <v>12</v>
      </c>
      <c r="E705">
        <v>18</v>
      </c>
      <c r="F705">
        <v>27</v>
      </c>
      <c r="G705">
        <v>45</v>
      </c>
      <c r="H705">
        <v>13</v>
      </c>
    </row>
    <row r="706" spans="1:8" x14ac:dyDescent="0.2">
      <c r="A706" s="1">
        <v>42863</v>
      </c>
      <c r="B706">
        <v>5</v>
      </c>
      <c r="C706">
        <v>21</v>
      </c>
      <c r="D706">
        <v>29</v>
      </c>
      <c r="E706">
        <v>30</v>
      </c>
      <c r="F706">
        <v>38</v>
      </c>
      <c r="G706">
        <v>45</v>
      </c>
      <c r="H706">
        <v>1</v>
      </c>
    </row>
    <row r="707" spans="1:8" x14ac:dyDescent="0.2">
      <c r="A707" s="1">
        <v>42859</v>
      </c>
      <c r="B707">
        <v>4</v>
      </c>
      <c r="C707">
        <v>13</v>
      </c>
      <c r="D707">
        <v>14</v>
      </c>
      <c r="E707">
        <v>36</v>
      </c>
      <c r="F707">
        <v>41</v>
      </c>
      <c r="G707">
        <v>43</v>
      </c>
      <c r="H707">
        <v>45</v>
      </c>
    </row>
    <row r="708" spans="1:8" x14ac:dyDescent="0.2">
      <c r="A708" s="1">
        <v>42856</v>
      </c>
      <c r="B708">
        <v>8</v>
      </c>
      <c r="C708">
        <v>17</v>
      </c>
      <c r="D708">
        <v>24</v>
      </c>
      <c r="E708">
        <v>29</v>
      </c>
      <c r="F708">
        <v>32</v>
      </c>
      <c r="G708">
        <v>45</v>
      </c>
      <c r="H708">
        <v>14</v>
      </c>
    </row>
    <row r="709" spans="1:8" x14ac:dyDescent="0.2">
      <c r="A709" s="1">
        <v>42852</v>
      </c>
      <c r="B709">
        <v>4</v>
      </c>
      <c r="C709">
        <v>7</v>
      </c>
      <c r="D709">
        <v>15</v>
      </c>
      <c r="E709">
        <v>31</v>
      </c>
      <c r="F709">
        <v>32</v>
      </c>
      <c r="G709">
        <v>43</v>
      </c>
      <c r="H709">
        <v>37</v>
      </c>
    </row>
    <row r="710" spans="1:8" x14ac:dyDescent="0.2">
      <c r="A710" s="1">
        <v>42849</v>
      </c>
      <c r="B710">
        <v>2</v>
      </c>
      <c r="C710">
        <v>8</v>
      </c>
      <c r="D710">
        <v>22</v>
      </c>
      <c r="E710">
        <v>31</v>
      </c>
      <c r="F710">
        <v>32</v>
      </c>
      <c r="G710">
        <v>35</v>
      </c>
      <c r="H710">
        <v>36</v>
      </c>
    </row>
    <row r="711" spans="1:8" x14ac:dyDescent="0.2">
      <c r="A711" s="1">
        <v>42845</v>
      </c>
      <c r="B711">
        <v>2</v>
      </c>
      <c r="C711">
        <v>12</v>
      </c>
      <c r="D711">
        <v>25</v>
      </c>
      <c r="E711">
        <v>28</v>
      </c>
      <c r="F711">
        <v>37</v>
      </c>
      <c r="G711">
        <v>38</v>
      </c>
      <c r="H711">
        <v>22</v>
      </c>
    </row>
    <row r="712" spans="1:8" x14ac:dyDescent="0.2">
      <c r="A712" s="1">
        <v>42842</v>
      </c>
      <c r="B712">
        <v>12</v>
      </c>
      <c r="C712">
        <v>17</v>
      </c>
      <c r="D712">
        <v>25</v>
      </c>
      <c r="E712">
        <v>28</v>
      </c>
      <c r="F712">
        <v>36</v>
      </c>
      <c r="G712">
        <v>44</v>
      </c>
      <c r="H712">
        <v>3</v>
      </c>
    </row>
    <row r="713" spans="1:8" x14ac:dyDescent="0.2">
      <c r="A713" s="1">
        <v>42838</v>
      </c>
      <c r="B713">
        <v>7</v>
      </c>
      <c r="C713">
        <v>9</v>
      </c>
      <c r="D713">
        <v>16</v>
      </c>
      <c r="E713">
        <v>27</v>
      </c>
      <c r="F713">
        <v>32</v>
      </c>
      <c r="G713">
        <v>47</v>
      </c>
      <c r="H713">
        <v>36</v>
      </c>
    </row>
    <row r="714" spans="1:8" x14ac:dyDescent="0.2">
      <c r="A714" s="1">
        <v>42835</v>
      </c>
      <c r="B714">
        <v>13</v>
      </c>
      <c r="C714">
        <v>19</v>
      </c>
      <c r="D714">
        <v>20</v>
      </c>
      <c r="E714">
        <v>23</v>
      </c>
      <c r="F714">
        <v>29</v>
      </c>
      <c r="G714">
        <v>31</v>
      </c>
      <c r="H714">
        <v>48</v>
      </c>
    </row>
    <row r="715" spans="1:8" x14ac:dyDescent="0.2">
      <c r="A715" s="1">
        <v>42831</v>
      </c>
      <c r="B715">
        <v>10</v>
      </c>
      <c r="C715">
        <v>12</v>
      </c>
      <c r="D715">
        <v>20</v>
      </c>
      <c r="E715">
        <v>27</v>
      </c>
      <c r="F715">
        <v>43</v>
      </c>
      <c r="G715">
        <v>46</v>
      </c>
      <c r="H715">
        <v>26</v>
      </c>
    </row>
    <row r="716" spans="1:8" x14ac:dyDescent="0.2">
      <c r="A716" s="1">
        <v>42828</v>
      </c>
      <c r="B716">
        <v>1</v>
      </c>
      <c r="C716">
        <v>28</v>
      </c>
      <c r="D716">
        <v>30</v>
      </c>
      <c r="E716">
        <v>32</v>
      </c>
      <c r="F716">
        <v>40</v>
      </c>
      <c r="G716">
        <v>48</v>
      </c>
      <c r="H716">
        <v>31</v>
      </c>
    </row>
    <row r="717" spans="1:8" x14ac:dyDescent="0.2">
      <c r="A717" s="1">
        <v>42824</v>
      </c>
      <c r="B717">
        <v>28</v>
      </c>
      <c r="C717">
        <v>34</v>
      </c>
      <c r="D717">
        <v>38</v>
      </c>
      <c r="E717">
        <v>39</v>
      </c>
      <c r="F717">
        <v>42</v>
      </c>
      <c r="G717">
        <v>46</v>
      </c>
      <c r="H717">
        <v>24</v>
      </c>
    </row>
    <row r="718" spans="1:8" x14ac:dyDescent="0.2">
      <c r="A718" s="1">
        <v>42821</v>
      </c>
      <c r="B718">
        <v>1</v>
      </c>
      <c r="C718">
        <v>27</v>
      </c>
      <c r="D718">
        <v>28</v>
      </c>
      <c r="E718">
        <v>40</v>
      </c>
      <c r="F718">
        <v>41</v>
      </c>
      <c r="G718">
        <v>44</v>
      </c>
      <c r="H718">
        <v>36</v>
      </c>
    </row>
    <row r="719" spans="1:8" x14ac:dyDescent="0.2">
      <c r="A719" s="1">
        <v>42817</v>
      </c>
      <c r="B719">
        <v>5</v>
      </c>
      <c r="C719">
        <v>13</v>
      </c>
      <c r="D719">
        <v>18</v>
      </c>
      <c r="E719">
        <v>25</v>
      </c>
      <c r="F719">
        <v>28</v>
      </c>
      <c r="G719">
        <v>44</v>
      </c>
      <c r="H719">
        <v>16</v>
      </c>
    </row>
    <row r="720" spans="1:8" x14ac:dyDescent="0.2">
      <c r="A720" s="1">
        <v>42814</v>
      </c>
      <c r="B720">
        <v>6</v>
      </c>
      <c r="C720">
        <v>20</v>
      </c>
      <c r="D720">
        <v>30</v>
      </c>
      <c r="E720">
        <v>41</v>
      </c>
      <c r="F720">
        <v>42</v>
      </c>
      <c r="G720">
        <v>45</v>
      </c>
      <c r="H720">
        <v>35</v>
      </c>
    </row>
    <row r="721" spans="1:8" x14ac:dyDescent="0.2">
      <c r="A721" s="1">
        <v>42810</v>
      </c>
      <c r="B721">
        <v>2</v>
      </c>
      <c r="C721">
        <v>9</v>
      </c>
      <c r="D721">
        <v>15</v>
      </c>
      <c r="E721">
        <v>19</v>
      </c>
      <c r="F721">
        <v>20</v>
      </c>
      <c r="G721">
        <v>37</v>
      </c>
      <c r="H721">
        <v>29</v>
      </c>
    </row>
    <row r="722" spans="1:8" x14ac:dyDescent="0.2">
      <c r="A722" s="1">
        <v>42807</v>
      </c>
      <c r="B722">
        <v>6</v>
      </c>
      <c r="C722">
        <v>28</v>
      </c>
      <c r="D722">
        <v>30</v>
      </c>
      <c r="E722">
        <v>35</v>
      </c>
      <c r="F722">
        <v>39</v>
      </c>
      <c r="G722">
        <v>42</v>
      </c>
      <c r="H722">
        <v>33</v>
      </c>
    </row>
    <row r="723" spans="1:8" x14ac:dyDescent="0.2">
      <c r="A723" s="1">
        <v>42803</v>
      </c>
      <c r="B723">
        <v>2</v>
      </c>
      <c r="C723">
        <v>6</v>
      </c>
      <c r="D723">
        <v>9</v>
      </c>
      <c r="E723">
        <v>17</v>
      </c>
      <c r="F723">
        <v>26</v>
      </c>
      <c r="G723">
        <v>46</v>
      </c>
      <c r="H723">
        <v>13</v>
      </c>
    </row>
    <row r="724" spans="1:8" x14ac:dyDescent="0.2">
      <c r="A724" s="1">
        <v>42800</v>
      </c>
      <c r="B724">
        <v>16</v>
      </c>
      <c r="C724">
        <v>22</v>
      </c>
      <c r="D724">
        <v>28</v>
      </c>
      <c r="E724">
        <v>36</v>
      </c>
      <c r="F724">
        <v>39</v>
      </c>
      <c r="G724">
        <v>47</v>
      </c>
      <c r="H724">
        <v>3</v>
      </c>
    </row>
    <row r="725" spans="1:8" x14ac:dyDescent="0.2">
      <c r="A725" s="1">
        <v>42796</v>
      </c>
      <c r="B725">
        <v>8</v>
      </c>
      <c r="C725">
        <v>14</v>
      </c>
      <c r="D725">
        <v>20</v>
      </c>
      <c r="E725">
        <v>35</v>
      </c>
      <c r="F725">
        <v>36</v>
      </c>
      <c r="G725">
        <v>41</v>
      </c>
      <c r="H725">
        <v>38</v>
      </c>
    </row>
    <row r="726" spans="1:8" x14ac:dyDescent="0.2">
      <c r="A726" s="1">
        <v>42793</v>
      </c>
      <c r="B726">
        <v>22</v>
      </c>
      <c r="C726">
        <v>25</v>
      </c>
      <c r="D726">
        <v>27</v>
      </c>
      <c r="E726">
        <v>29</v>
      </c>
      <c r="F726">
        <v>35</v>
      </c>
      <c r="G726">
        <v>49</v>
      </c>
      <c r="H726">
        <v>31</v>
      </c>
    </row>
    <row r="727" spans="1:8" x14ac:dyDescent="0.2">
      <c r="A727" s="1">
        <v>42789</v>
      </c>
      <c r="B727">
        <v>7</v>
      </c>
      <c r="C727">
        <v>8</v>
      </c>
      <c r="D727">
        <v>9</v>
      </c>
      <c r="E727">
        <v>28</v>
      </c>
      <c r="F727">
        <v>41</v>
      </c>
      <c r="G727">
        <v>42</v>
      </c>
      <c r="H727">
        <v>29</v>
      </c>
    </row>
    <row r="728" spans="1:8" x14ac:dyDescent="0.2">
      <c r="A728" s="1">
        <v>42786</v>
      </c>
      <c r="B728">
        <v>2</v>
      </c>
      <c r="C728">
        <v>6</v>
      </c>
      <c r="D728">
        <v>13</v>
      </c>
      <c r="E728">
        <v>17</v>
      </c>
      <c r="F728">
        <v>23</v>
      </c>
      <c r="G728">
        <v>46</v>
      </c>
      <c r="H728">
        <v>3</v>
      </c>
    </row>
    <row r="729" spans="1:8" x14ac:dyDescent="0.2">
      <c r="A729" s="1">
        <v>42782</v>
      </c>
      <c r="B729">
        <v>8</v>
      </c>
      <c r="C729">
        <v>17</v>
      </c>
      <c r="D729">
        <v>31</v>
      </c>
      <c r="E729">
        <v>43</v>
      </c>
      <c r="F729">
        <v>44</v>
      </c>
      <c r="G729">
        <v>48</v>
      </c>
      <c r="H729">
        <v>46</v>
      </c>
    </row>
    <row r="730" spans="1:8" x14ac:dyDescent="0.2">
      <c r="A730" s="1">
        <v>42779</v>
      </c>
      <c r="B730">
        <v>7</v>
      </c>
      <c r="C730">
        <v>10</v>
      </c>
      <c r="D730">
        <v>19</v>
      </c>
      <c r="E730">
        <v>23</v>
      </c>
      <c r="F730">
        <v>24</v>
      </c>
      <c r="G730">
        <v>33</v>
      </c>
      <c r="H730">
        <v>3</v>
      </c>
    </row>
    <row r="731" spans="1:8" x14ac:dyDescent="0.2">
      <c r="A731" s="1">
        <v>42776</v>
      </c>
      <c r="B731">
        <v>2</v>
      </c>
      <c r="C731">
        <v>7</v>
      </c>
      <c r="D731">
        <v>24</v>
      </c>
      <c r="E731">
        <v>27</v>
      </c>
      <c r="F731">
        <v>29</v>
      </c>
      <c r="G731">
        <v>34</v>
      </c>
      <c r="H731">
        <v>21</v>
      </c>
    </row>
    <row r="732" spans="1:8" x14ac:dyDescent="0.2">
      <c r="A732" s="1">
        <v>42772</v>
      </c>
      <c r="B732">
        <v>9</v>
      </c>
      <c r="C732">
        <v>14</v>
      </c>
      <c r="D732">
        <v>17</v>
      </c>
      <c r="E732">
        <v>25</v>
      </c>
      <c r="F732">
        <v>30</v>
      </c>
      <c r="G732">
        <v>36</v>
      </c>
      <c r="H732">
        <v>44</v>
      </c>
    </row>
    <row r="733" spans="1:8" x14ac:dyDescent="0.2">
      <c r="A733" s="1">
        <v>42768</v>
      </c>
      <c r="B733">
        <v>11</v>
      </c>
      <c r="C733">
        <v>20</v>
      </c>
      <c r="D733">
        <v>21</v>
      </c>
      <c r="E733">
        <v>29</v>
      </c>
      <c r="F733">
        <v>37</v>
      </c>
      <c r="G733">
        <v>48</v>
      </c>
      <c r="H733">
        <v>23</v>
      </c>
    </row>
    <row r="734" spans="1:8" x14ac:dyDescent="0.2">
      <c r="A734" s="1">
        <v>42765</v>
      </c>
      <c r="B734">
        <v>21</v>
      </c>
      <c r="C734">
        <v>22</v>
      </c>
      <c r="D734">
        <v>25</v>
      </c>
      <c r="E734">
        <v>27</v>
      </c>
      <c r="F734">
        <v>32</v>
      </c>
      <c r="G734">
        <v>39</v>
      </c>
      <c r="H734">
        <v>6</v>
      </c>
    </row>
    <row r="735" spans="1:8" x14ac:dyDescent="0.2">
      <c r="A735" s="1">
        <v>42761</v>
      </c>
      <c r="B735">
        <v>8</v>
      </c>
      <c r="C735">
        <v>12</v>
      </c>
      <c r="D735">
        <v>16</v>
      </c>
      <c r="E735">
        <v>19</v>
      </c>
      <c r="F735">
        <v>22</v>
      </c>
      <c r="G735">
        <v>46</v>
      </c>
      <c r="H735">
        <v>6</v>
      </c>
    </row>
    <row r="736" spans="1:8" x14ac:dyDescent="0.2">
      <c r="A736" s="1">
        <v>42758</v>
      </c>
      <c r="B736">
        <v>5</v>
      </c>
      <c r="C736">
        <v>14</v>
      </c>
      <c r="D736">
        <v>23</v>
      </c>
      <c r="E736">
        <v>28</v>
      </c>
      <c r="F736">
        <v>45</v>
      </c>
      <c r="G736">
        <v>49</v>
      </c>
      <c r="H736">
        <v>39</v>
      </c>
    </row>
    <row r="737" spans="1:8" x14ac:dyDescent="0.2">
      <c r="A737" s="1">
        <v>42754</v>
      </c>
      <c r="B737">
        <v>5</v>
      </c>
      <c r="C737">
        <v>8</v>
      </c>
      <c r="D737">
        <v>16</v>
      </c>
      <c r="E737">
        <v>44</v>
      </c>
      <c r="F737">
        <v>48</v>
      </c>
      <c r="G737">
        <v>49</v>
      </c>
      <c r="H737">
        <v>32</v>
      </c>
    </row>
    <row r="738" spans="1:8" x14ac:dyDescent="0.2">
      <c r="A738" s="1">
        <v>42751</v>
      </c>
      <c r="B738">
        <v>2</v>
      </c>
      <c r="C738">
        <v>7</v>
      </c>
      <c r="D738">
        <v>17</v>
      </c>
      <c r="E738">
        <v>21</v>
      </c>
      <c r="F738">
        <v>35</v>
      </c>
      <c r="G738">
        <v>42</v>
      </c>
      <c r="H738">
        <v>16</v>
      </c>
    </row>
    <row r="739" spans="1:8" x14ac:dyDescent="0.2">
      <c r="A739" s="1">
        <v>42747</v>
      </c>
      <c r="B739">
        <v>3</v>
      </c>
      <c r="C739">
        <v>6</v>
      </c>
      <c r="D739">
        <v>12</v>
      </c>
      <c r="E739">
        <v>25</v>
      </c>
      <c r="F739">
        <v>40</v>
      </c>
      <c r="G739">
        <v>43</v>
      </c>
      <c r="H739">
        <v>42</v>
      </c>
    </row>
    <row r="740" spans="1:8" x14ac:dyDescent="0.2">
      <c r="A740" s="1">
        <v>42744</v>
      </c>
      <c r="B740">
        <v>8</v>
      </c>
      <c r="C740">
        <v>29</v>
      </c>
      <c r="D740">
        <v>33</v>
      </c>
      <c r="E740">
        <v>34</v>
      </c>
      <c r="F740">
        <v>42</v>
      </c>
      <c r="G740">
        <v>49</v>
      </c>
      <c r="H740">
        <v>21</v>
      </c>
    </row>
    <row r="741" spans="1:8" x14ac:dyDescent="0.2">
      <c r="A741" s="1">
        <v>42740</v>
      </c>
      <c r="B741">
        <v>7</v>
      </c>
      <c r="C741">
        <v>15</v>
      </c>
      <c r="D741">
        <v>20</v>
      </c>
      <c r="E741">
        <v>33</v>
      </c>
      <c r="F741">
        <v>39</v>
      </c>
      <c r="G741">
        <v>44</v>
      </c>
      <c r="H741">
        <v>43</v>
      </c>
    </row>
    <row r="742" spans="1:8" x14ac:dyDescent="0.2">
      <c r="A742" s="1">
        <v>42737</v>
      </c>
      <c r="B742">
        <v>1</v>
      </c>
      <c r="C742">
        <v>18</v>
      </c>
      <c r="D742">
        <v>22</v>
      </c>
      <c r="E742">
        <v>35</v>
      </c>
      <c r="F742">
        <v>38</v>
      </c>
      <c r="G742">
        <v>49</v>
      </c>
      <c r="H742">
        <v>30</v>
      </c>
    </row>
    <row r="743" spans="1:8" x14ac:dyDescent="0.2">
      <c r="A743" s="1">
        <v>42733</v>
      </c>
      <c r="B743">
        <v>2</v>
      </c>
      <c r="C743">
        <v>4</v>
      </c>
      <c r="D743">
        <v>34</v>
      </c>
      <c r="E743">
        <v>36</v>
      </c>
      <c r="F743">
        <v>42</v>
      </c>
      <c r="G743">
        <v>46</v>
      </c>
      <c r="H743">
        <v>15</v>
      </c>
    </row>
    <row r="744" spans="1:8" x14ac:dyDescent="0.2">
      <c r="A744" s="1">
        <v>42730</v>
      </c>
      <c r="B744">
        <v>8</v>
      </c>
      <c r="C744">
        <v>10</v>
      </c>
      <c r="D744">
        <v>18</v>
      </c>
      <c r="E744">
        <v>25</v>
      </c>
      <c r="F744">
        <v>28</v>
      </c>
      <c r="G744">
        <v>46</v>
      </c>
      <c r="H744">
        <v>23</v>
      </c>
    </row>
    <row r="745" spans="1:8" x14ac:dyDescent="0.2">
      <c r="A745" s="1">
        <v>42726</v>
      </c>
      <c r="B745">
        <v>3</v>
      </c>
      <c r="C745">
        <v>28</v>
      </c>
      <c r="D745">
        <v>37</v>
      </c>
      <c r="E745">
        <v>38</v>
      </c>
      <c r="F745">
        <v>44</v>
      </c>
      <c r="G745">
        <v>47</v>
      </c>
      <c r="H745">
        <v>46</v>
      </c>
    </row>
    <row r="746" spans="1:8" x14ac:dyDescent="0.2">
      <c r="A746" s="1">
        <v>42723</v>
      </c>
      <c r="B746">
        <v>10</v>
      </c>
      <c r="C746">
        <v>11</v>
      </c>
      <c r="D746">
        <v>24</v>
      </c>
      <c r="E746">
        <v>27</v>
      </c>
      <c r="F746">
        <v>36</v>
      </c>
      <c r="G746">
        <v>49</v>
      </c>
      <c r="H746">
        <v>43</v>
      </c>
    </row>
    <row r="747" spans="1:8" x14ac:dyDescent="0.2">
      <c r="A747" s="1">
        <v>42719</v>
      </c>
      <c r="B747">
        <v>4</v>
      </c>
      <c r="C747">
        <v>18</v>
      </c>
      <c r="D747">
        <v>24</v>
      </c>
      <c r="E747">
        <v>39</v>
      </c>
      <c r="F747">
        <v>46</v>
      </c>
      <c r="G747">
        <v>47</v>
      </c>
      <c r="H747">
        <v>10</v>
      </c>
    </row>
    <row r="748" spans="1:8" x14ac:dyDescent="0.2">
      <c r="A748" s="1">
        <v>42716</v>
      </c>
      <c r="B748">
        <v>2</v>
      </c>
      <c r="C748">
        <v>14</v>
      </c>
      <c r="D748">
        <v>31</v>
      </c>
      <c r="E748">
        <v>36</v>
      </c>
      <c r="F748">
        <v>43</v>
      </c>
      <c r="G748">
        <v>46</v>
      </c>
      <c r="H748">
        <v>39</v>
      </c>
    </row>
    <row r="749" spans="1:8" x14ac:dyDescent="0.2">
      <c r="A749" s="1">
        <v>42712</v>
      </c>
      <c r="B749">
        <v>6</v>
      </c>
      <c r="C749">
        <v>8</v>
      </c>
      <c r="D749">
        <v>11</v>
      </c>
      <c r="E749">
        <v>24</v>
      </c>
      <c r="F749">
        <v>37</v>
      </c>
      <c r="G749">
        <v>46</v>
      </c>
      <c r="H749">
        <v>23</v>
      </c>
    </row>
    <row r="750" spans="1:8" x14ac:dyDescent="0.2">
      <c r="A750" s="1">
        <v>42709</v>
      </c>
      <c r="B750">
        <v>5</v>
      </c>
      <c r="C750">
        <v>9</v>
      </c>
      <c r="D750">
        <v>11</v>
      </c>
      <c r="E750">
        <v>19</v>
      </c>
      <c r="F750">
        <v>24</v>
      </c>
      <c r="G750">
        <v>37</v>
      </c>
      <c r="H750">
        <v>36</v>
      </c>
    </row>
    <row r="751" spans="1:8" x14ac:dyDescent="0.2">
      <c r="A751" s="1">
        <v>42705</v>
      </c>
      <c r="B751">
        <v>3</v>
      </c>
      <c r="C751">
        <v>4</v>
      </c>
      <c r="D751">
        <v>8</v>
      </c>
      <c r="E751">
        <v>19</v>
      </c>
      <c r="F751">
        <v>24</v>
      </c>
      <c r="G751">
        <v>46</v>
      </c>
      <c r="H751">
        <v>12</v>
      </c>
    </row>
    <row r="752" spans="1:8" x14ac:dyDescent="0.2">
      <c r="A752" s="1">
        <v>42702</v>
      </c>
      <c r="B752">
        <v>2</v>
      </c>
      <c r="C752">
        <v>4</v>
      </c>
      <c r="D752">
        <v>15</v>
      </c>
      <c r="E752">
        <v>24</v>
      </c>
      <c r="F752">
        <v>37</v>
      </c>
      <c r="G752">
        <v>48</v>
      </c>
      <c r="H752">
        <v>6</v>
      </c>
    </row>
    <row r="753" spans="1:8" x14ac:dyDescent="0.2">
      <c r="A753" s="1">
        <v>42698</v>
      </c>
      <c r="B753">
        <v>2</v>
      </c>
      <c r="C753">
        <v>3</v>
      </c>
      <c r="D753">
        <v>17</v>
      </c>
      <c r="E753">
        <v>19</v>
      </c>
      <c r="F753">
        <v>22</v>
      </c>
      <c r="G753">
        <v>40</v>
      </c>
      <c r="H753">
        <v>20</v>
      </c>
    </row>
    <row r="754" spans="1:8" x14ac:dyDescent="0.2">
      <c r="A754" s="1">
        <v>42695</v>
      </c>
      <c r="B754">
        <v>4</v>
      </c>
      <c r="C754">
        <v>21</v>
      </c>
      <c r="D754">
        <v>25</v>
      </c>
      <c r="E754">
        <v>40</v>
      </c>
      <c r="F754">
        <v>47</v>
      </c>
      <c r="G754">
        <v>48</v>
      </c>
      <c r="H754">
        <v>49</v>
      </c>
    </row>
    <row r="755" spans="1:8" x14ac:dyDescent="0.2">
      <c r="A755" s="1">
        <v>42691</v>
      </c>
      <c r="B755">
        <v>1</v>
      </c>
      <c r="C755">
        <v>21</v>
      </c>
      <c r="D755">
        <v>31</v>
      </c>
      <c r="E755">
        <v>36</v>
      </c>
      <c r="F755">
        <v>39</v>
      </c>
      <c r="G755">
        <v>43</v>
      </c>
      <c r="H755">
        <v>38</v>
      </c>
    </row>
    <row r="756" spans="1:8" x14ac:dyDescent="0.2">
      <c r="A756" s="1">
        <v>42688</v>
      </c>
      <c r="B756">
        <v>8</v>
      </c>
      <c r="C756">
        <v>10</v>
      </c>
      <c r="D756">
        <v>15</v>
      </c>
      <c r="E756">
        <v>31</v>
      </c>
      <c r="F756">
        <v>38</v>
      </c>
      <c r="G756">
        <v>40</v>
      </c>
      <c r="H756">
        <v>19</v>
      </c>
    </row>
    <row r="757" spans="1:8" x14ac:dyDescent="0.2">
      <c r="A757" s="1">
        <v>42684</v>
      </c>
      <c r="B757">
        <v>17</v>
      </c>
      <c r="C757">
        <v>22</v>
      </c>
      <c r="D757">
        <v>26</v>
      </c>
      <c r="E757">
        <v>34</v>
      </c>
      <c r="F757">
        <v>41</v>
      </c>
      <c r="G757">
        <v>47</v>
      </c>
      <c r="H757">
        <v>42</v>
      </c>
    </row>
    <row r="758" spans="1:8" x14ac:dyDescent="0.2">
      <c r="A758" s="1">
        <v>42681</v>
      </c>
      <c r="B758">
        <v>1</v>
      </c>
      <c r="C758">
        <v>13</v>
      </c>
      <c r="D758">
        <v>21</v>
      </c>
      <c r="E758">
        <v>41</v>
      </c>
      <c r="F758">
        <v>48</v>
      </c>
      <c r="G758">
        <v>49</v>
      </c>
      <c r="H758">
        <v>22</v>
      </c>
    </row>
    <row r="759" spans="1:8" x14ac:dyDescent="0.2">
      <c r="A759" s="1">
        <v>42677</v>
      </c>
      <c r="B759">
        <v>1</v>
      </c>
      <c r="C759">
        <v>11</v>
      </c>
      <c r="D759">
        <v>19</v>
      </c>
      <c r="E759">
        <v>26</v>
      </c>
      <c r="F759">
        <v>35</v>
      </c>
      <c r="G759">
        <v>39</v>
      </c>
      <c r="H759">
        <v>14</v>
      </c>
    </row>
    <row r="760" spans="1:8" x14ac:dyDescent="0.2">
      <c r="A760" s="1">
        <v>42674</v>
      </c>
      <c r="B760">
        <v>14</v>
      </c>
      <c r="C760">
        <v>19</v>
      </c>
      <c r="D760">
        <v>24</v>
      </c>
      <c r="E760">
        <v>32</v>
      </c>
      <c r="F760">
        <v>36</v>
      </c>
      <c r="G760">
        <v>42</v>
      </c>
      <c r="H760">
        <v>35</v>
      </c>
    </row>
    <row r="761" spans="1:8" x14ac:dyDescent="0.2">
      <c r="A761" s="1">
        <v>42670</v>
      </c>
      <c r="B761">
        <v>3</v>
      </c>
      <c r="C761">
        <v>5</v>
      </c>
      <c r="D761">
        <v>8</v>
      </c>
      <c r="E761">
        <v>21</v>
      </c>
      <c r="F761">
        <v>40</v>
      </c>
      <c r="G761">
        <v>46</v>
      </c>
      <c r="H761">
        <v>30</v>
      </c>
    </row>
    <row r="762" spans="1:8" x14ac:dyDescent="0.2">
      <c r="A762" s="1">
        <v>42667</v>
      </c>
      <c r="B762">
        <v>2</v>
      </c>
      <c r="C762">
        <v>15</v>
      </c>
      <c r="D762">
        <v>18</v>
      </c>
      <c r="E762">
        <v>24</v>
      </c>
      <c r="F762">
        <v>34</v>
      </c>
      <c r="G762">
        <v>35</v>
      </c>
      <c r="H762">
        <v>48</v>
      </c>
    </row>
    <row r="763" spans="1:8" x14ac:dyDescent="0.2">
      <c r="A763" s="1">
        <v>42663</v>
      </c>
      <c r="B763">
        <v>5</v>
      </c>
      <c r="C763">
        <v>14</v>
      </c>
      <c r="D763">
        <v>20</v>
      </c>
      <c r="E763">
        <v>23</v>
      </c>
      <c r="F763">
        <v>36</v>
      </c>
      <c r="G763">
        <v>49</v>
      </c>
      <c r="H763">
        <v>30</v>
      </c>
    </row>
    <row r="764" spans="1:8" x14ac:dyDescent="0.2">
      <c r="A764" s="1">
        <v>42660</v>
      </c>
      <c r="B764">
        <v>3</v>
      </c>
      <c r="C764">
        <v>7</v>
      </c>
      <c r="D764">
        <v>9</v>
      </c>
      <c r="E764">
        <v>27</v>
      </c>
      <c r="F764">
        <v>39</v>
      </c>
      <c r="G764">
        <v>44</v>
      </c>
      <c r="H764">
        <v>48</v>
      </c>
    </row>
    <row r="765" spans="1:8" x14ac:dyDescent="0.2">
      <c r="A765" s="1">
        <v>42656</v>
      </c>
      <c r="B765">
        <v>16</v>
      </c>
      <c r="C765">
        <v>20</v>
      </c>
      <c r="D765">
        <v>31</v>
      </c>
      <c r="E765">
        <v>32</v>
      </c>
      <c r="F765">
        <v>40</v>
      </c>
      <c r="G765">
        <v>41</v>
      </c>
      <c r="H765">
        <v>13</v>
      </c>
    </row>
    <row r="766" spans="1:8" x14ac:dyDescent="0.2">
      <c r="A766" s="1">
        <v>42653</v>
      </c>
      <c r="B766">
        <v>3</v>
      </c>
      <c r="C766">
        <v>18</v>
      </c>
      <c r="D766">
        <v>24</v>
      </c>
      <c r="E766">
        <v>30</v>
      </c>
      <c r="F766">
        <v>35</v>
      </c>
      <c r="G766">
        <v>49</v>
      </c>
      <c r="H766">
        <v>44</v>
      </c>
    </row>
    <row r="767" spans="1:8" x14ac:dyDescent="0.2">
      <c r="A767" s="1">
        <v>42649</v>
      </c>
      <c r="B767">
        <v>6</v>
      </c>
      <c r="C767">
        <v>13</v>
      </c>
      <c r="D767">
        <v>19</v>
      </c>
      <c r="E767">
        <v>25</v>
      </c>
      <c r="F767">
        <v>26</v>
      </c>
      <c r="G767">
        <v>39</v>
      </c>
      <c r="H767">
        <v>35</v>
      </c>
    </row>
    <row r="768" spans="1:8" x14ac:dyDescent="0.2">
      <c r="A768" s="1">
        <v>42646</v>
      </c>
      <c r="B768">
        <v>6</v>
      </c>
      <c r="C768">
        <v>9</v>
      </c>
      <c r="D768">
        <v>14</v>
      </c>
      <c r="E768">
        <v>27</v>
      </c>
      <c r="F768">
        <v>28</v>
      </c>
      <c r="G768">
        <v>46</v>
      </c>
      <c r="H768">
        <v>2</v>
      </c>
    </row>
    <row r="769" spans="1:8" x14ac:dyDescent="0.2">
      <c r="A769" s="1">
        <v>42642</v>
      </c>
      <c r="B769">
        <v>1</v>
      </c>
      <c r="C769">
        <v>3</v>
      </c>
      <c r="D769">
        <v>4</v>
      </c>
      <c r="E769">
        <v>24</v>
      </c>
      <c r="F769">
        <v>34</v>
      </c>
      <c r="G769">
        <v>48</v>
      </c>
      <c r="H769">
        <v>29</v>
      </c>
    </row>
    <row r="770" spans="1:8" x14ac:dyDescent="0.2">
      <c r="A770" s="1">
        <v>42639</v>
      </c>
      <c r="B770">
        <v>6</v>
      </c>
      <c r="C770">
        <v>9</v>
      </c>
      <c r="D770">
        <v>15</v>
      </c>
      <c r="E770">
        <v>27</v>
      </c>
      <c r="F770">
        <v>37</v>
      </c>
      <c r="G770">
        <v>48</v>
      </c>
      <c r="H770">
        <v>24</v>
      </c>
    </row>
    <row r="771" spans="1:8" x14ac:dyDescent="0.2">
      <c r="A771" s="1">
        <v>42635</v>
      </c>
      <c r="B771">
        <v>8</v>
      </c>
      <c r="C771">
        <v>11</v>
      </c>
      <c r="D771">
        <v>28</v>
      </c>
      <c r="E771">
        <v>34</v>
      </c>
      <c r="F771">
        <v>40</v>
      </c>
      <c r="G771">
        <v>46</v>
      </c>
      <c r="H771">
        <v>48</v>
      </c>
    </row>
    <row r="772" spans="1:8" x14ac:dyDescent="0.2">
      <c r="A772" s="1">
        <v>42632</v>
      </c>
      <c r="B772">
        <v>14</v>
      </c>
      <c r="C772">
        <v>17</v>
      </c>
      <c r="D772">
        <v>26</v>
      </c>
      <c r="E772">
        <v>31</v>
      </c>
      <c r="F772">
        <v>41</v>
      </c>
      <c r="G772">
        <v>45</v>
      </c>
      <c r="H772">
        <v>30</v>
      </c>
    </row>
    <row r="773" spans="1:8" x14ac:dyDescent="0.2">
      <c r="A773" s="1">
        <v>42628</v>
      </c>
      <c r="B773">
        <v>2</v>
      </c>
      <c r="C773">
        <v>20</v>
      </c>
      <c r="D773">
        <v>21</v>
      </c>
      <c r="E773">
        <v>25</v>
      </c>
      <c r="F773">
        <v>27</v>
      </c>
      <c r="G773">
        <v>38</v>
      </c>
      <c r="H773">
        <v>28</v>
      </c>
    </row>
    <row r="774" spans="1:8" x14ac:dyDescent="0.2">
      <c r="A774" s="1">
        <v>42625</v>
      </c>
      <c r="B774">
        <v>3</v>
      </c>
      <c r="C774">
        <v>10</v>
      </c>
      <c r="D774">
        <v>18</v>
      </c>
      <c r="E774">
        <v>22</v>
      </c>
      <c r="F774">
        <v>48</v>
      </c>
      <c r="G774">
        <v>49</v>
      </c>
      <c r="H774">
        <v>41</v>
      </c>
    </row>
    <row r="775" spans="1:8" x14ac:dyDescent="0.2">
      <c r="A775" s="1">
        <v>42621</v>
      </c>
      <c r="B775">
        <v>4</v>
      </c>
      <c r="C775">
        <v>6</v>
      </c>
      <c r="D775">
        <v>11</v>
      </c>
      <c r="E775">
        <v>13</v>
      </c>
      <c r="F775">
        <v>26</v>
      </c>
      <c r="G775">
        <v>31</v>
      </c>
      <c r="H775">
        <v>17</v>
      </c>
    </row>
    <row r="776" spans="1:8" x14ac:dyDescent="0.2">
      <c r="A776" s="1">
        <v>42618</v>
      </c>
      <c r="B776">
        <v>3</v>
      </c>
      <c r="C776">
        <v>9</v>
      </c>
      <c r="D776">
        <v>14</v>
      </c>
      <c r="E776">
        <v>21</v>
      </c>
      <c r="F776">
        <v>32</v>
      </c>
      <c r="G776">
        <v>40</v>
      </c>
      <c r="H776">
        <v>7</v>
      </c>
    </row>
    <row r="777" spans="1:8" x14ac:dyDescent="0.2">
      <c r="A777" s="1">
        <v>42614</v>
      </c>
      <c r="B777">
        <v>3</v>
      </c>
      <c r="C777">
        <v>4</v>
      </c>
      <c r="D777">
        <v>12</v>
      </c>
      <c r="E777">
        <v>15</v>
      </c>
      <c r="F777">
        <v>28</v>
      </c>
      <c r="G777">
        <v>48</v>
      </c>
      <c r="H777">
        <v>8</v>
      </c>
    </row>
    <row r="778" spans="1:8" x14ac:dyDescent="0.2">
      <c r="A778" s="1">
        <v>42611</v>
      </c>
      <c r="B778">
        <v>11</v>
      </c>
      <c r="C778">
        <v>19</v>
      </c>
      <c r="D778">
        <v>23</v>
      </c>
      <c r="E778">
        <v>32</v>
      </c>
      <c r="F778">
        <v>48</v>
      </c>
      <c r="G778">
        <v>49</v>
      </c>
      <c r="H778">
        <v>34</v>
      </c>
    </row>
    <row r="779" spans="1:8" x14ac:dyDescent="0.2">
      <c r="A779" s="1">
        <v>42607</v>
      </c>
      <c r="B779">
        <v>5</v>
      </c>
      <c r="C779">
        <v>6</v>
      </c>
      <c r="D779">
        <v>11</v>
      </c>
      <c r="E779">
        <v>25</v>
      </c>
      <c r="F779">
        <v>35</v>
      </c>
      <c r="G779">
        <v>40</v>
      </c>
      <c r="H779">
        <v>44</v>
      </c>
    </row>
    <row r="780" spans="1:8" x14ac:dyDescent="0.2">
      <c r="A780" s="1">
        <v>42604</v>
      </c>
      <c r="B780">
        <v>1</v>
      </c>
      <c r="C780">
        <v>10</v>
      </c>
      <c r="D780">
        <v>35</v>
      </c>
      <c r="E780">
        <v>36</v>
      </c>
      <c r="F780">
        <v>41</v>
      </c>
      <c r="G780">
        <v>49</v>
      </c>
      <c r="H780">
        <v>48</v>
      </c>
    </row>
    <row r="781" spans="1:8" x14ac:dyDescent="0.2">
      <c r="A781" s="1">
        <v>42600</v>
      </c>
      <c r="B781">
        <v>2</v>
      </c>
      <c r="C781">
        <v>10</v>
      </c>
      <c r="D781">
        <v>11</v>
      </c>
      <c r="E781">
        <v>21</v>
      </c>
      <c r="F781">
        <v>26</v>
      </c>
      <c r="G781">
        <v>36</v>
      </c>
      <c r="H781">
        <v>18</v>
      </c>
    </row>
    <row r="782" spans="1:8" x14ac:dyDescent="0.2">
      <c r="A782" s="1">
        <v>42597</v>
      </c>
      <c r="B782">
        <v>3</v>
      </c>
      <c r="C782">
        <v>16</v>
      </c>
      <c r="D782">
        <v>18</v>
      </c>
      <c r="E782">
        <v>31</v>
      </c>
      <c r="F782">
        <v>35</v>
      </c>
      <c r="G782">
        <v>38</v>
      </c>
      <c r="H782">
        <v>29</v>
      </c>
    </row>
    <row r="783" spans="1:8" x14ac:dyDescent="0.2">
      <c r="A783" s="1">
        <v>42593</v>
      </c>
      <c r="B783">
        <v>13</v>
      </c>
      <c r="C783">
        <v>22</v>
      </c>
      <c r="D783">
        <v>30</v>
      </c>
      <c r="E783">
        <v>32</v>
      </c>
      <c r="F783">
        <v>45</v>
      </c>
      <c r="G783">
        <v>46</v>
      </c>
      <c r="H783">
        <v>29</v>
      </c>
    </row>
    <row r="784" spans="1:8" x14ac:dyDescent="0.2">
      <c r="A784" s="1">
        <v>42590</v>
      </c>
      <c r="B784">
        <v>4</v>
      </c>
      <c r="C784">
        <v>9</v>
      </c>
      <c r="D784">
        <v>23</v>
      </c>
      <c r="E784">
        <v>26</v>
      </c>
      <c r="F784">
        <v>34</v>
      </c>
      <c r="G784">
        <v>44</v>
      </c>
      <c r="H784">
        <v>21</v>
      </c>
    </row>
    <row r="785" spans="1:8" x14ac:dyDescent="0.2">
      <c r="A785" s="1">
        <v>42586</v>
      </c>
      <c r="B785">
        <v>1</v>
      </c>
      <c r="C785">
        <v>8</v>
      </c>
      <c r="D785">
        <v>29</v>
      </c>
      <c r="E785">
        <v>31</v>
      </c>
      <c r="F785">
        <v>37</v>
      </c>
      <c r="G785">
        <v>42</v>
      </c>
      <c r="H785">
        <v>23</v>
      </c>
    </row>
    <row r="786" spans="1:8" x14ac:dyDescent="0.2">
      <c r="A786" s="1">
        <v>42583</v>
      </c>
      <c r="B786">
        <v>6</v>
      </c>
      <c r="C786">
        <v>14</v>
      </c>
      <c r="D786">
        <v>24</v>
      </c>
      <c r="E786">
        <v>36</v>
      </c>
      <c r="F786">
        <v>37</v>
      </c>
      <c r="G786">
        <v>39</v>
      </c>
      <c r="H786">
        <v>27</v>
      </c>
    </row>
    <row r="787" spans="1:8" x14ac:dyDescent="0.2">
      <c r="A787" s="1">
        <v>42579</v>
      </c>
      <c r="B787">
        <v>4</v>
      </c>
      <c r="C787">
        <v>6</v>
      </c>
      <c r="D787">
        <v>8</v>
      </c>
      <c r="E787">
        <v>15</v>
      </c>
      <c r="F787">
        <v>29</v>
      </c>
      <c r="G787">
        <v>36</v>
      </c>
      <c r="H787">
        <v>9</v>
      </c>
    </row>
    <row r="788" spans="1:8" x14ac:dyDescent="0.2">
      <c r="A788" s="1">
        <v>42576</v>
      </c>
      <c r="B788">
        <v>6</v>
      </c>
      <c r="C788">
        <v>26</v>
      </c>
      <c r="D788">
        <v>38</v>
      </c>
      <c r="E788">
        <v>40</v>
      </c>
      <c r="F788">
        <v>44</v>
      </c>
      <c r="G788">
        <v>49</v>
      </c>
      <c r="H788">
        <v>16</v>
      </c>
    </row>
    <row r="789" spans="1:8" x14ac:dyDescent="0.2">
      <c r="A789" s="1">
        <v>42572</v>
      </c>
      <c r="B789">
        <v>2</v>
      </c>
      <c r="C789">
        <v>14</v>
      </c>
      <c r="D789">
        <v>18</v>
      </c>
      <c r="E789">
        <v>27</v>
      </c>
      <c r="F789">
        <v>31</v>
      </c>
      <c r="G789">
        <v>44</v>
      </c>
      <c r="H789">
        <v>26</v>
      </c>
    </row>
    <row r="790" spans="1:8" x14ac:dyDescent="0.2">
      <c r="A790" s="1">
        <v>42569</v>
      </c>
      <c r="B790">
        <v>8</v>
      </c>
      <c r="C790">
        <v>11</v>
      </c>
      <c r="D790">
        <v>22</v>
      </c>
      <c r="E790">
        <v>35</v>
      </c>
      <c r="F790">
        <v>36</v>
      </c>
      <c r="G790">
        <v>46</v>
      </c>
      <c r="H790">
        <v>43</v>
      </c>
    </row>
    <row r="791" spans="1:8" x14ac:dyDescent="0.2">
      <c r="A791" s="1">
        <v>42565</v>
      </c>
      <c r="B791">
        <v>2</v>
      </c>
      <c r="C791">
        <v>11</v>
      </c>
      <c r="D791">
        <v>14</v>
      </c>
      <c r="E791">
        <v>16</v>
      </c>
      <c r="F791">
        <v>31</v>
      </c>
      <c r="G791">
        <v>44</v>
      </c>
      <c r="H791">
        <v>19</v>
      </c>
    </row>
    <row r="792" spans="1:8" x14ac:dyDescent="0.2">
      <c r="A792" s="1">
        <v>42562</v>
      </c>
      <c r="B792">
        <v>7</v>
      </c>
      <c r="C792">
        <v>21</v>
      </c>
      <c r="D792">
        <v>22</v>
      </c>
      <c r="E792">
        <v>30</v>
      </c>
      <c r="F792">
        <v>35</v>
      </c>
      <c r="G792">
        <v>39</v>
      </c>
      <c r="H792">
        <v>19</v>
      </c>
    </row>
    <row r="793" spans="1:8" x14ac:dyDescent="0.2">
      <c r="A793" s="1">
        <v>42558</v>
      </c>
      <c r="B793">
        <v>4</v>
      </c>
      <c r="C793">
        <v>6</v>
      </c>
      <c r="D793">
        <v>13</v>
      </c>
      <c r="E793">
        <v>15</v>
      </c>
      <c r="F793">
        <v>21</v>
      </c>
      <c r="G793">
        <v>30</v>
      </c>
      <c r="H793">
        <v>49</v>
      </c>
    </row>
    <row r="794" spans="1:8" x14ac:dyDescent="0.2">
      <c r="A794" s="1">
        <v>42555</v>
      </c>
      <c r="B794">
        <v>11</v>
      </c>
      <c r="C794">
        <v>18</v>
      </c>
      <c r="D794">
        <v>26</v>
      </c>
      <c r="E794">
        <v>27</v>
      </c>
      <c r="F794">
        <v>34</v>
      </c>
      <c r="G794">
        <v>46</v>
      </c>
      <c r="H794">
        <v>22</v>
      </c>
    </row>
    <row r="795" spans="1:8" x14ac:dyDescent="0.2">
      <c r="A795" s="1">
        <v>42551</v>
      </c>
      <c r="B795">
        <v>11</v>
      </c>
      <c r="C795">
        <v>12</v>
      </c>
      <c r="D795">
        <v>15</v>
      </c>
      <c r="E795">
        <v>16</v>
      </c>
      <c r="F795">
        <v>21</v>
      </c>
      <c r="G795">
        <v>32</v>
      </c>
      <c r="H795">
        <v>47</v>
      </c>
    </row>
    <row r="796" spans="1:8" x14ac:dyDescent="0.2">
      <c r="A796" s="1">
        <v>42548</v>
      </c>
      <c r="B796">
        <v>1</v>
      </c>
      <c r="C796">
        <v>12</v>
      </c>
      <c r="D796">
        <v>13</v>
      </c>
      <c r="E796">
        <v>14</v>
      </c>
      <c r="F796">
        <v>38</v>
      </c>
      <c r="G796">
        <v>40</v>
      </c>
      <c r="H796">
        <v>34</v>
      </c>
    </row>
    <row r="797" spans="1:8" x14ac:dyDescent="0.2">
      <c r="A797" s="1">
        <v>42544</v>
      </c>
      <c r="B797">
        <v>1</v>
      </c>
      <c r="C797">
        <v>3</v>
      </c>
      <c r="D797">
        <v>5</v>
      </c>
      <c r="E797">
        <v>8</v>
      </c>
      <c r="F797">
        <v>20</v>
      </c>
      <c r="G797">
        <v>44</v>
      </c>
      <c r="H797">
        <v>22</v>
      </c>
    </row>
    <row r="798" spans="1:8" x14ac:dyDescent="0.2">
      <c r="A798" s="1">
        <v>42541</v>
      </c>
      <c r="B798">
        <v>4</v>
      </c>
      <c r="C798">
        <v>6</v>
      </c>
      <c r="D798">
        <v>14</v>
      </c>
      <c r="E798">
        <v>18</v>
      </c>
      <c r="F798">
        <v>19</v>
      </c>
      <c r="G798">
        <v>35</v>
      </c>
      <c r="H798">
        <v>42</v>
      </c>
    </row>
    <row r="799" spans="1:8" x14ac:dyDescent="0.2">
      <c r="A799" s="1">
        <v>42537</v>
      </c>
      <c r="B799">
        <v>5</v>
      </c>
      <c r="C799">
        <v>11</v>
      </c>
      <c r="D799">
        <v>30</v>
      </c>
      <c r="E799">
        <v>36</v>
      </c>
      <c r="F799">
        <v>44</v>
      </c>
      <c r="G799">
        <v>46</v>
      </c>
      <c r="H799">
        <v>16</v>
      </c>
    </row>
    <row r="800" spans="1:8" x14ac:dyDescent="0.2">
      <c r="A800" s="1">
        <v>42534</v>
      </c>
      <c r="B800">
        <v>6</v>
      </c>
      <c r="C800">
        <v>18</v>
      </c>
      <c r="D800">
        <v>22</v>
      </c>
      <c r="E800">
        <v>24</v>
      </c>
      <c r="F800">
        <v>26</v>
      </c>
      <c r="G800">
        <v>30</v>
      </c>
      <c r="H800">
        <v>36</v>
      </c>
    </row>
    <row r="801" spans="1:8" x14ac:dyDescent="0.2">
      <c r="A801" s="1">
        <v>42530</v>
      </c>
      <c r="B801">
        <v>12</v>
      </c>
      <c r="C801">
        <v>21</v>
      </c>
      <c r="D801">
        <v>27</v>
      </c>
      <c r="E801">
        <v>28</v>
      </c>
      <c r="F801">
        <v>35</v>
      </c>
      <c r="G801">
        <v>43</v>
      </c>
      <c r="H801">
        <v>47</v>
      </c>
    </row>
    <row r="802" spans="1:8" x14ac:dyDescent="0.2">
      <c r="A802" s="1">
        <v>42527</v>
      </c>
      <c r="B802">
        <v>2</v>
      </c>
      <c r="C802">
        <v>7</v>
      </c>
      <c r="D802">
        <v>12</v>
      </c>
      <c r="E802">
        <v>19</v>
      </c>
      <c r="F802">
        <v>29</v>
      </c>
      <c r="G802">
        <v>36</v>
      </c>
      <c r="H802">
        <v>20</v>
      </c>
    </row>
    <row r="803" spans="1:8" x14ac:dyDescent="0.2">
      <c r="A803" s="1">
        <v>42523</v>
      </c>
      <c r="B803">
        <v>1</v>
      </c>
      <c r="C803">
        <v>15</v>
      </c>
      <c r="D803">
        <v>23</v>
      </c>
      <c r="E803">
        <v>25</v>
      </c>
      <c r="F803">
        <v>33</v>
      </c>
      <c r="G803">
        <v>42</v>
      </c>
      <c r="H803">
        <v>44</v>
      </c>
    </row>
    <row r="804" spans="1:8" x14ac:dyDescent="0.2">
      <c r="A804" s="1">
        <v>42520</v>
      </c>
      <c r="B804">
        <v>8</v>
      </c>
      <c r="C804">
        <v>12</v>
      </c>
      <c r="D804">
        <v>24</v>
      </c>
      <c r="E804">
        <v>33</v>
      </c>
      <c r="F804">
        <v>35</v>
      </c>
      <c r="G804">
        <v>39</v>
      </c>
      <c r="H804">
        <v>22</v>
      </c>
    </row>
    <row r="805" spans="1:8" x14ac:dyDescent="0.2">
      <c r="A805" s="1">
        <v>42516</v>
      </c>
      <c r="B805">
        <v>7</v>
      </c>
      <c r="C805">
        <v>15</v>
      </c>
      <c r="D805">
        <v>19</v>
      </c>
      <c r="E805">
        <v>31</v>
      </c>
      <c r="F805">
        <v>32</v>
      </c>
      <c r="G805">
        <v>40</v>
      </c>
      <c r="H805">
        <v>47</v>
      </c>
    </row>
    <row r="806" spans="1:8" x14ac:dyDescent="0.2">
      <c r="A806" s="1">
        <v>42513</v>
      </c>
      <c r="B806">
        <v>7</v>
      </c>
      <c r="C806">
        <v>12</v>
      </c>
      <c r="D806">
        <v>20</v>
      </c>
      <c r="E806">
        <v>24</v>
      </c>
      <c r="F806">
        <v>30</v>
      </c>
      <c r="G806">
        <v>31</v>
      </c>
      <c r="H806">
        <v>43</v>
      </c>
    </row>
    <row r="807" spans="1:8" x14ac:dyDescent="0.2">
      <c r="A807" s="1">
        <v>42509</v>
      </c>
      <c r="B807">
        <v>2</v>
      </c>
      <c r="C807">
        <v>17</v>
      </c>
      <c r="D807">
        <v>19</v>
      </c>
      <c r="E807">
        <v>23</v>
      </c>
      <c r="F807">
        <v>32</v>
      </c>
      <c r="G807">
        <v>49</v>
      </c>
      <c r="H807">
        <v>33</v>
      </c>
    </row>
    <row r="808" spans="1:8" x14ac:dyDescent="0.2">
      <c r="A808" s="1">
        <v>42506</v>
      </c>
      <c r="B808">
        <v>1</v>
      </c>
      <c r="C808">
        <v>10</v>
      </c>
      <c r="D808">
        <v>24</v>
      </c>
      <c r="E808">
        <v>26</v>
      </c>
      <c r="F808">
        <v>36</v>
      </c>
      <c r="G808">
        <v>47</v>
      </c>
      <c r="H808">
        <v>4</v>
      </c>
    </row>
    <row r="809" spans="1:8" x14ac:dyDescent="0.2">
      <c r="A809" s="1">
        <v>42502</v>
      </c>
      <c r="B809">
        <v>1</v>
      </c>
      <c r="C809">
        <v>4</v>
      </c>
      <c r="D809">
        <v>23</v>
      </c>
      <c r="E809">
        <v>40</v>
      </c>
      <c r="F809">
        <v>46</v>
      </c>
      <c r="G809">
        <v>48</v>
      </c>
      <c r="H809">
        <v>34</v>
      </c>
    </row>
    <row r="810" spans="1:8" x14ac:dyDescent="0.2">
      <c r="A810" s="1">
        <v>42499</v>
      </c>
      <c r="B810">
        <v>1</v>
      </c>
      <c r="C810">
        <v>12</v>
      </c>
      <c r="D810">
        <v>26</v>
      </c>
      <c r="E810">
        <v>29</v>
      </c>
      <c r="F810">
        <v>39</v>
      </c>
      <c r="G810">
        <v>49</v>
      </c>
      <c r="H810">
        <v>42</v>
      </c>
    </row>
    <row r="811" spans="1:8" x14ac:dyDescent="0.2">
      <c r="A811" s="1">
        <v>42495</v>
      </c>
      <c r="B811">
        <v>9</v>
      </c>
      <c r="C811">
        <v>20</v>
      </c>
      <c r="D811">
        <v>23</v>
      </c>
      <c r="E811">
        <v>46</v>
      </c>
      <c r="F811">
        <v>48</v>
      </c>
      <c r="G811">
        <v>49</v>
      </c>
      <c r="H811">
        <v>42</v>
      </c>
    </row>
    <row r="812" spans="1:8" x14ac:dyDescent="0.2">
      <c r="A812" s="1">
        <v>42492</v>
      </c>
      <c r="B812">
        <v>6</v>
      </c>
      <c r="C812">
        <v>7</v>
      </c>
      <c r="D812">
        <v>8</v>
      </c>
      <c r="E812">
        <v>9</v>
      </c>
      <c r="F812">
        <v>14</v>
      </c>
      <c r="G812">
        <v>19</v>
      </c>
      <c r="H812">
        <v>48</v>
      </c>
    </row>
    <row r="813" spans="1:8" x14ac:dyDescent="0.2">
      <c r="A813" s="1">
        <v>42488</v>
      </c>
      <c r="B813">
        <v>3</v>
      </c>
      <c r="C813">
        <v>20</v>
      </c>
      <c r="D813">
        <v>26</v>
      </c>
      <c r="E813">
        <v>31</v>
      </c>
      <c r="F813">
        <v>34</v>
      </c>
      <c r="G813">
        <v>40</v>
      </c>
      <c r="H813">
        <v>30</v>
      </c>
    </row>
    <row r="814" spans="1:8" x14ac:dyDescent="0.2">
      <c r="A814" s="1">
        <v>42485</v>
      </c>
      <c r="B814">
        <v>1</v>
      </c>
      <c r="C814">
        <v>3</v>
      </c>
      <c r="D814">
        <v>4</v>
      </c>
      <c r="E814">
        <v>22</v>
      </c>
      <c r="F814">
        <v>37</v>
      </c>
      <c r="G814">
        <v>41</v>
      </c>
      <c r="H814">
        <v>31</v>
      </c>
    </row>
    <row r="815" spans="1:8" x14ac:dyDescent="0.2">
      <c r="A815" s="1">
        <v>42481</v>
      </c>
      <c r="B815">
        <v>13</v>
      </c>
      <c r="C815">
        <v>14</v>
      </c>
      <c r="D815">
        <v>19</v>
      </c>
      <c r="E815">
        <v>32</v>
      </c>
      <c r="F815">
        <v>33</v>
      </c>
      <c r="G815">
        <v>48</v>
      </c>
      <c r="H815">
        <v>42</v>
      </c>
    </row>
    <row r="816" spans="1:8" x14ac:dyDescent="0.2">
      <c r="A816" s="1">
        <v>42478</v>
      </c>
      <c r="B816">
        <v>11</v>
      </c>
      <c r="C816">
        <v>14</v>
      </c>
      <c r="D816">
        <v>21</v>
      </c>
      <c r="E816">
        <v>28</v>
      </c>
      <c r="F816">
        <v>30</v>
      </c>
      <c r="G816">
        <v>39</v>
      </c>
      <c r="H816">
        <v>49</v>
      </c>
    </row>
    <row r="817" spans="1:8" x14ac:dyDescent="0.2">
      <c r="A817" s="1">
        <v>42474</v>
      </c>
      <c r="B817">
        <v>3</v>
      </c>
      <c r="C817">
        <v>4</v>
      </c>
      <c r="D817">
        <v>19</v>
      </c>
      <c r="E817">
        <v>26</v>
      </c>
      <c r="F817">
        <v>28</v>
      </c>
      <c r="G817">
        <v>34</v>
      </c>
      <c r="H817">
        <v>30</v>
      </c>
    </row>
    <row r="818" spans="1:8" x14ac:dyDescent="0.2">
      <c r="A818" s="1">
        <v>42471</v>
      </c>
      <c r="B818">
        <v>9</v>
      </c>
      <c r="C818">
        <v>13</v>
      </c>
      <c r="D818">
        <v>16</v>
      </c>
      <c r="E818">
        <v>18</v>
      </c>
      <c r="F818">
        <v>48</v>
      </c>
      <c r="G818">
        <v>49</v>
      </c>
      <c r="H818">
        <v>42</v>
      </c>
    </row>
    <row r="819" spans="1:8" x14ac:dyDescent="0.2">
      <c r="A819" s="1">
        <v>42467</v>
      </c>
      <c r="B819">
        <v>1</v>
      </c>
      <c r="C819">
        <v>7</v>
      </c>
      <c r="D819">
        <v>30</v>
      </c>
      <c r="E819">
        <v>32</v>
      </c>
      <c r="F819">
        <v>38</v>
      </c>
      <c r="G819">
        <v>46</v>
      </c>
      <c r="H819">
        <v>23</v>
      </c>
    </row>
    <row r="820" spans="1:8" x14ac:dyDescent="0.2">
      <c r="A820" s="1">
        <v>42464</v>
      </c>
      <c r="B820">
        <v>10</v>
      </c>
      <c r="C820">
        <v>15</v>
      </c>
      <c r="D820">
        <v>22</v>
      </c>
      <c r="E820">
        <v>28</v>
      </c>
      <c r="F820">
        <v>34</v>
      </c>
      <c r="G820">
        <v>38</v>
      </c>
      <c r="H820">
        <v>12</v>
      </c>
    </row>
    <row r="821" spans="1:8" x14ac:dyDescent="0.2">
      <c r="A821" s="1">
        <v>42460</v>
      </c>
      <c r="B821">
        <v>20</v>
      </c>
      <c r="C821">
        <v>21</v>
      </c>
      <c r="D821">
        <v>22</v>
      </c>
      <c r="E821">
        <v>31</v>
      </c>
      <c r="F821">
        <v>39</v>
      </c>
      <c r="G821">
        <v>46</v>
      </c>
      <c r="H821">
        <v>32</v>
      </c>
    </row>
    <row r="822" spans="1:8" x14ac:dyDescent="0.2">
      <c r="A822" s="1">
        <v>42457</v>
      </c>
      <c r="B822">
        <v>8</v>
      </c>
      <c r="C822">
        <v>9</v>
      </c>
      <c r="D822">
        <v>15</v>
      </c>
      <c r="E822">
        <v>28</v>
      </c>
      <c r="F822">
        <v>36</v>
      </c>
      <c r="G822">
        <v>39</v>
      </c>
      <c r="H822">
        <v>33</v>
      </c>
    </row>
    <row r="823" spans="1:8" x14ac:dyDescent="0.2">
      <c r="A823" s="1">
        <v>42453</v>
      </c>
      <c r="B823">
        <v>4</v>
      </c>
      <c r="C823">
        <v>9</v>
      </c>
      <c r="D823">
        <v>28</v>
      </c>
      <c r="E823">
        <v>35</v>
      </c>
      <c r="F823">
        <v>38</v>
      </c>
      <c r="G823">
        <v>44</v>
      </c>
      <c r="H823">
        <v>36</v>
      </c>
    </row>
    <row r="824" spans="1:8" x14ac:dyDescent="0.2">
      <c r="A824" s="1">
        <v>42450</v>
      </c>
      <c r="B824">
        <v>8</v>
      </c>
      <c r="C824">
        <v>12</v>
      </c>
      <c r="D824">
        <v>20</v>
      </c>
      <c r="E824">
        <v>39</v>
      </c>
      <c r="F824">
        <v>43</v>
      </c>
      <c r="G824">
        <v>47</v>
      </c>
      <c r="H824">
        <v>9</v>
      </c>
    </row>
    <row r="825" spans="1:8" x14ac:dyDescent="0.2">
      <c r="A825" s="1">
        <v>42446</v>
      </c>
      <c r="B825">
        <v>2</v>
      </c>
      <c r="C825">
        <v>3</v>
      </c>
      <c r="D825">
        <v>20</v>
      </c>
      <c r="E825">
        <v>21</v>
      </c>
      <c r="F825">
        <v>30</v>
      </c>
      <c r="G825">
        <v>33</v>
      </c>
      <c r="H825">
        <v>12</v>
      </c>
    </row>
    <row r="826" spans="1:8" x14ac:dyDescent="0.2">
      <c r="A826" s="1">
        <v>42443</v>
      </c>
      <c r="B826">
        <v>8</v>
      </c>
      <c r="C826">
        <v>10</v>
      </c>
      <c r="D826">
        <v>24</v>
      </c>
      <c r="E826">
        <v>29</v>
      </c>
      <c r="F826">
        <v>31</v>
      </c>
      <c r="G826">
        <v>33</v>
      </c>
      <c r="H826">
        <v>4</v>
      </c>
    </row>
    <row r="827" spans="1:8" x14ac:dyDescent="0.2">
      <c r="A827" s="1">
        <v>42439</v>
      </c>
      <c r="B827">
        <v>25</v>
      </c>
      <c r="C827">
        <v>29</v>
      </c>
      <c r="D827">
        <v>32</v>
      </c>
      <c r="E827">
        <v>33</v>
      </c>
      <c r="F827">
        <v>34</v>
      </c>
      <c r="G827">
        <v>49</v>
      </c>
      <c r="H827">
        <v>13</v>
      </c>
    </row>
    <row r="828" spans="1:8" x14ac:dyDescent="0.2">
      <c r="A828" s="1">
        <v>42436</v>
      </c>
      <c r="B828">
        <v>9</v>
      </c>
      <c r="C828">
        <v>18</v>
      </c>
      <c r="D828">
        <v>30</v>
      </c>
      <c r="E828">
        <v>33</v>
      </c>
      <c r="F828">
        <v>45</v>
      </c>
      <c r="G828">
        <v>47</v>
      </c>
      <c r="H828">
        <v>25</v>
      </c>
    </row>
    <row r="829" spans="1:8" x14ac:dyDescent="0.2">
      <c r="A829" s="1">
        <v>42432</v>
      </c>
      <c r="B829">
        <v>6</v>
      </c>
      <c r="C829">
        <v>14</v>
      </c>
      <c r="D829">
        <v>24</v>
      </c>
      <c r="E829">
        <v>33</v>
      </c>
      <c r="F829">
        <v>38</v>
      </c>
      <c r="G829">
        <v>41</v>
      </c>
      <c r="H829">
        <v>25</v>
      </c>
    </row>
    <row r="830" spans="1:8" x14ac:dyDescent="0.2">
      <c r="A830" s="1">
        <v>42429</v>
      </c>
      <c r="B830">
        <v>8</v>
      </c>
      <c r="C830">
        <v>11</v>
      </c>
      <c r="D830">
        <v>15</v>
      </c>
      <c r="E830">
        <v>17</v>
      </c>
      <c r="F830">
        <v>28</v>
      </c>
      <c r="G830">
        <v>47</v>
      </c>
      <c r="H830">
        <v>18</v>
      </c>
    </row>
    <row r="831" spans="1:8" x14ac:dyDescent="0.2">
      <c r="A831" s="1">
        <v>42425</v>
      </c>
      <c r="B831">
        <v>7</v>
      </c>
      <c r="C831">
        <v>14</v>
      </c>
      <c r="D831">
        <v>17</v>
      </c>
      <c r="E831">
        <v>23</v>
      </c>
      <c r="F831">
        <v>35</v>
      </c>
      <c r="G831">
        <v>49</v>
      </c>
      <c r="H831">
        <v>31</v>
      </c>
    </row>
    <row r="832" spans="1:8" x14ac:dyDescent="0.2">
      <c r="A832" s="1">
        <v>42422</v>
      </c>
      <c r="B832">
        <v>10</v>
      </c>
      <c r="C832">
        <v>18</v>
      </c>
      <c r="D832">
        <v>22</v>
      </c>
      <c r="E832">
        <v>37</v>
      </c>
      <c r="F832">
        <v>39</v>
      </c>
      <c r="G832">
        <v>40</v>
      </c>
      <c r="H832">
        <v>46</v>
      </c>
    </row>
    <row r="833" spans="1:8" x14ac:dyDescent="0.2">
      <c r="A833" s="1">
        <v>42419</v>
      </c>
      <c r="B833">
        <v>16</v>
      </c>
      <c r="C833">
        <v>18</v>
      </c>
      <c r="D833">
        <v>20</v>
      </c>
      <c r="E833">
        <v>21</v>
      </c>
      <c r="F833">
        <v>27</v>
      </c>
      <c r="G833">
        <v>49</v>
      </c>
      <c r="H833">
        <v>23</v>
      </c>
    </row>
    <row r="834" spans="1:8" x14ac:dyDescent="0.2">
      <c r="A834" s="1">
        <v>42415</v>
      </c>
      <c r="B834">
        <v>3</v>
      </c>
      <c r="C834">
        <v>5</v>
      </c>
      <c r="D834">
        <v>29</v>
      </c>
      <c r="E834">
        <v>40</v>
      </c>
      <c r="F834">
        <v>43</v>
      </c>
      <c r="G834">
        <v>49</v>
      </c>
      <c r="H834">
        <v>21</v>
      </c>
    </row>
    <row r="835" spans="1:8" x14ac:dyDescent="0.2">
      <c r="A835" s="1">
        <v>42411</v>
      </c>
      <c r="B835">
        <v>7</v>
      </c>
      <c r="C835">
        <v>8</v>
      </c>
      <c r="D835">
        <v>17</v>
      </c>
      <c r="E835">
        <v>39</v>
      </c>
      <c r="F835">
        <v>46</v>
      </c>
      <c r="G835">
        <v>49</v>
      </c>
      <c r="H835">
        <v>13</v>
      </c>
    </row>
    <row r="836" spans="1:8" x14ac:dyDescent="0.2">
      <c r="A836" s="1">
        <v>42408</v>
      </c>
      <c r="B836">
        <v>13</v>
      </c>
      <c r="C836">
        <v>14</v>
      </c>
      <c r="D836">
        <v>16</v>
      </c>
      <c r="E836">
        <v>21</v>
      </c>
      <c r="F836">
        <v>24</v>
      </c>
      <c r="G836">
        <v>42</v>
      </c>
      <c r="H836">
        <v>7</v>
      </c>
    </row>
    <row r="837" spans="1:8" x14ac:dyDescent="0.2">
      <c r="A837" s="1">
        <v>42404</v>
      </c>
      <c r="B837">
        <v>2</v>
      </c>
      <c r="C837">
        <v>21</v>
      </c>
      <c r="D837">
        <v>26</v>
      </c>
      <c r="E837">
        <v>34</v>
      </c>
      <c r="F837">
        <v>39</v>
      </c>
      <c r="G837">
        <v>49</v>
      </c>
      <c r="H837">
        <v>3</v>
      </c>
    </row>
    <row r="838" spans="1:8" x14ac:dyDescent="0.2">
      <c r="A838" s="1">
        <v>42401</v>
      </c>
      <c r="B838">
        <v>9</v>
      </c>
      <c r="C838">
        <v>10</v>
      </c>
      <c r="D838">
        <v>11</v>
      </c>
      <c r="E838">
        <v>22</v>
      </c>
      <c r="F838">
        <v>23</v>
      </c>
      <c r="G838">
        <v>32</v>
      </c>
      <c r="H838">
        <v>6</v>
      </c>
    </row>
    <row r="839" spans="1:8" x14ac:dyDescent="0.2">
      <c r="A839" s="1">
        <v>42397</v>
      </c>
      <c r="B839">
        <v>4</v>
      </c>
      <c r="C839">
        <v>20</v>
      </c>
      <c r="D839">
        <v>22</v>
      </c>
      <c r="E839">
        <v>40</v>
      </c>
      <c r="F839">
        <v>41</v>
      </c>
      <c r="G839">
        <v>48</v>
      </c>
      <c r="H839">
        <v>21</v>
      </c>
    </row>
    <row r="840" spans="1:8" x14ac:dyDescent="0.2">
      <c r="A840" s="1">
        <v>42394</v>
      </c>
      <c r="B840">
        <v>16</v>
      </c>
      <c r="C840">
        <v>17</v>
      </c>
      <c r="D840">
        <v>19</v>
      </c>
      <c r="E840">
        <v>35</v>
      </c>
      <c r="F840">
        <v>40</v>
      </c>
      <c r="G840">
        <v>48</v>
      </c>
      <c r="H840">
        <v>37</v>
      </c>
    </row>
    <row r="841" spans="1:8" x14ac:dyDescent="0.2">
      <c r="A841" s="1">
        <v>42390</v>
      </c>
      <c r="B841">
        <v>2</v>
      </c>
      <c r="C841">
        <v>11</v>
      </c>
      <c r="D841">
        <v>23</v>
      </c>
      <c r="E841">
        <v>24</v>
      </c>
      <c r="F841">
        <v>33</v>
      </c>
      <c r="G841">
        <v>44</v>
      </c>
      <c r="H841">
        <v>28</v>
      </c>
    </row>
    <row r="842" spans="1:8" x14ac:dyDescent="0.2">
      <c r="A842" s="1">
        <v>42387</v>
      </c>
      <c r="B842">
        <v>4</v>
      </c>
      <c r="C842">
        <v>11</v>
      </c>
      <c r="D842">
        <v>40</v>
      </c>
      <c r="E842">
        <v>43</v>
      </c>
      <c r="F842">
        <v>48</v>
      </c>
      <c r="G842">
        <v>49</v>
      </c>
      <c r="H842">
        <v>17</v>
      </c>
    </row>
    <row r="843" spans="1:8" x14ac:dyDescent="0.2">
      <c r="A843" s="1">
        <v>42383</v>
      </c>
      <c r="B843">
        <v>1</v>
      </c>
      <c r="C843">
        <v>2</v>
      </c>
      <c r="D843">
        <v>4</v>
      </c>
      <c r="E843">
        <v>7</v>
      </c>
      <c r="F843">
        <v>28</v>
      </c>
      <c r="G843">
        <v>41</v>
      </c>
      <c r="H843">
        <v>18</v>
      </c>
    </row>
    <row r="844" spans="1:8" x14ac:dyDescent="0.2">
      <c r="A844" s="1">
        <v>42380</v>
      </c>
      <c r="B844">
        <v>13</v>
      </c>
      <c r="C844">
        <v>20</v>
      </c>
      <c r="D844">
        <v>22</v>
      </c>
      <c r="E844">
        <v>29</v>
      </c>
      <c r="F844">
        <v>36</v>
      </c>
      <c r="G844">
        <v>37</v>
      </c>
      <c r="H844">
        <v>33</v>
      </c>
    </row>
    <row r="845" spans="1:8" x14ac:dyDescent="0.2">
      <c r="A845" s="1">
        <v>42376</v>
      </c>
      <c r="B845">
        <v>3</v>
      </c>
      <c r="C845">
        <v>5</v>
      </c>
      <c r="D845">
        <v>6</v>
      </c>
      <c r="E845">
        <v>20</v>
      </c>
      <c r="F845">
        <v>21</v>
      </c>
      <c r="G845">
        <v>45</v>
      </c>
      <c r="H845">
        <v>33</v>
      </c>
    </row>
    <row r="846" spans="1:8" x14ac:dyDescent="0.2">
      <c r="A846" s="1">
        <v>42373</v>
      </c>
      <c r="B846">
        <v>3</v>
      </c>
      <c r="C846">
        <v>9</v>
      </c>
      <c r="D846">
        <v>18</v>
      </c>
      <c r="E846">
        <v>28</v>
      </c>
      <c r="F846">
        <v>31</v>
      </c>
      <c r="G846">
        <v>46</v>
      </c>
      <c r="H846">
        <v>32</v>
      </c>
    </row>
    <row r="847" spans="1:8" x14ac:dyDescent="0.2">
      <c r="A847" s="1">
        <v>42369</v>
      </c>
      <c r="B847">
        <v>9</v>
      </c>
      <c r="C847">
        <v>21</v>
      </c>
      <c r="D847">
        <v>23</v>
      </c>
      <c r="E847">
        <v>35</v>
      </c>
      <c r="F847">
        <v>38</v>
      </c>
      <c r="G847">
        <v>41</v>
      </c>
      <c r="H847">
        <v>36</v>
      </c>
    </row>
    <row r="848" spans="1:8" x14ac:dyDescent="0.2">
      <c r="A848" s="1">
        <v>42366</v>
      </c>
      <c r="B848">
        <v>7</v>
      </c>
      <c r="C848">
        <v>15</v>
      </c>
      <c r="D848">
        <v>16</v>
      </c>
      <c r="E848">
        <v>17</v>
      </c>
      <c r="F848">
        <v>35</v>
      </c>
      <c r="G848">
        <v>47</v>
      </c>
      <c r="H848">
        <v>41</v>
      </c>
    </row>
    <row r="849" spans="1:8" x14ac:dyDescent="0.2">
      <c r="A849" s="1">
        <v>42362</v>
      </c>
      <c r="B849">
        <v>10</v>
      </c>
      <c r="C849">
        <v>20</v>
      </c>
      <c r="D849">
        <v>21</v>
      </c>
      <c r="E849">
        <v>27</v>
      </c>
      <c r="F849">
        <v>33</v>
      </c>
      <c r="G849">
        <v>46</v>
      </c>
      <c r="H849">
        <v>37</v>
      </c>
    </row>
    <row r="850" spans="1:8" x14ac:dyDescent="0.2">
      <c r="A850" s="1">
        <v>42359</v>
      </c>
      <c r="B850">
        <v>11</v>
      </c>
      <c r="C850">
        <v>14</v>
      </c>
      <c r="D850">
        <v>18</v>
      </c>
      <c r="E850">
        <v>22</v>
      </c>
      <c r="F850">
        <v>35</v>
      </c>
      <c r="G850">
        <v>43</v>
      </c>
      <c r="H850">
        <v>28</v>
      </c>
    </row>
    <row r="851" spans="1:8" x14ac:dyDescent="0.2">
      <c r="A851" s="1">
        <v>42355</v>
      </c>
      <c r="B851">
        <v>2</v>
      </c>
      <c r="C851">
        <v>12</v>
      </c>
      <c r="D851">
        <v>17</v>
      </c>
      <c r="E851">
        <v>19</v>
      </c>
      <c r="F851">
        <v>20</v>
      </c>
      <c r="G851">
        <v>33</v>
      </c>
      <c r="H851">
        <v>27</v>
      </c>
    </row>
    <row r="852" spans="1:8" x14ac:dyDescent="0.2">
      <c r="A852" s="1">
        <v>42352</v>
      </c>
      <c r="B852">
        <v>6</v>
      </c>
      <c r="C852">
        <v>21</v>
      </c>
      <c r="D852">
        <v>25</v>
      </c>
      <c r="E852">
        <v>29</v>
      </c>
      <c r="F852">
        <v>33</v>
      </c>
      <c r="G852">
        <v>40</v>
      </c>
      <c r="H852">
        <v>31</v>
      </c>
    </row>
    <row r="853" spans="1:8" x14ac:dyDescent="0.2">
      <c r="A853" s="1">
        <v>42348</v>
      </c>
      <c r="B853">
        <v>4</v>
      </c>
      <c r="C853">
        <v>8</v>
      </c>
      <c r="D853">
        <v>11</v>
      </c>
      <c r="E853">
        <v>39</v>
      </c>
      <c r="F853">
        <v>44</v>
      </c>
      <c r="G853">
        <v>46</v>
      </c>
      <c r="H853">
        <v>29</v>
      </c>
    </row>
    <row r="854" spans="1:8" x14ac:dyDescent="0.2">
      <c r="A854" s="1">
        <v>42345</v>
      </c>
      <c r="B854">
        <v>5</v>
      </c>
      <c r="C854">
        <v>24</v>
      </c>
      <c r="D854">
        <v>26</v>
      </c>
      <c r="E854">
        <v>36</v>
      </c>
      <c r="F854">
        <v>44</v>
      </c>
      <c r="G854">
        <v>49</v>
      </c>
      <c r="H854">
        <v>19</v>
      </c>
    </row>
    <row r="855" spans="1:8" x14ac:dyDescent="0.2">
      <c r="A855" s="1">
        <v>42341</v>
      </c>
      <c r="B855">
        <v>17</v>
      </c>
      <c r="C855">
        <v>20</v>
      </c>
      <c r="D855">
        <v>34</v>
      </c>
      <c r="E855">
        <v>37</v>
      </c>
      <c r="F855">
        <v>43</v>
      </c>
      <c r="G855">
        <v>48</v>
      </c>
      <c r="H855">
        <v>32</v>
      </c>
    </row>
    <row r="856" spans="1:8" x14ac:dyDescent="0.2">
      <c r="A856" s="1">
        <v>42338</v>
      </c>
      <c r="B856">
        <v>11</v>
      </c>
      <c r="C856">
        <v>31</v>
      </c>
      <c r="D856">
        <v>35</v>
      </c>
      <c r="E856">
        <v>37</v>
      </c>
      <c r="F856">
        <v>44</v>
      </c>
      <c r="G856">
        <v>46</v>
      </c>
      <c r="H856">
        <v>42</v>
      </c>
    </row>
    <row r="857" spans="1:8" x14ac:dyDescent="0.2">
      <c r="A857" s="1">
        <v>42334</v>
      </c>
      <c r="B857">
        <v>2</v>
      </c>
      <c r="C857">
        <v>24</v>
      </c>
      <c r="D857">
        <v>34</v>
      </c>
      <c r="E857">
        <v>43</v>
      </c>
      <c r="F857">
        <v>44</v>
      </c>
      <c r="G857">
        <v>46</v>
      </c>
      <c r="H857">
        <v>28</v>
      </c>
    </row>
    <row r="858" spans="1:8" x14ac:dyDescent="0.2">
      <c r="A858" s="1">
        <v>42331</v>
      </c>
      <c r="B858">
        <v>5</v>
      </c>
      <c r="C858">
        <v>31</v>
      </c>
      <c r="D858">
        <v>36</v>
      </c>
      <c r="E858">
        <v>39</v>
      </c>
      <c r="F858">
        <v>44</v>
      </c>
      <c r="G858">
        <v>46</v>
      </c>
      <c r="H858">
        <v>43</v>
      </c>
    </row>
    <row r="859" spans="1:8" x14ac:dyDescent="0.2">
      <c r="A859" s="1">
        <v>42327</v>
      </c>
      <c r="B859">
        <v>1</v>
      </c>
      <c r="C859">
        <v>14</v>
      </c>
      <c r="D859">
        <v>19</v>
      </c>
      <c r="E859">
        <v>37</v>
      </c>
      <c r="F859">
        <v>40</v>
      </c>
      <c r="G859">
        <v>47</v>
      </c>
      <c r="H859">
        <v>9</v>
      </c>
    </row>
    <row r="860" spans="1:8" x14ac:dyDescent="0.2">
      <c r="A860" s="1">
        <v>42324</v>
      </c>
      <c r="B860">
        <v>3</v>
      </c>
      <c r="C860">
        <v>5</v>
      </c>
      <c r="D860">
        <v>18</v>
      </c>
      <c r="E860">
        <v>41</v>
      </c>
      <c r="F860">
        <v>46</v>
      </c>
      <c r="G860">
        <v>48</v>
      </c>
      <c r="H860">
        <v>40</v>
      </c>
    </row>
    <row r="861" spans="1:8" x14ac:dyDescent="0.2">
      <c r="A861" s="1">
        <v>42320</v>
      </c>
      <c r="B861">
        <v>8</v>
      </c>
      <c r="C861">
        <v>10</v>
      </c>
      <c r="D861">
        <v>11</v>
      </c>
      <c r="E861">
        <v>12</v>
      </c>
      <c r="F861">
        <v>33</v>
      </c>
      <c r="G861">
        <v>41</v>
      </c>
      <c r="H861">
        <v>1</v>
      </c>
    </row>
    <row r="862" spans="1:8" x14ac:dyDescent="0.2">
      <c r="A862" s="1">
        <v>42317</v>
      </c>
      <c r="B862">
        <v>3</v>
      </c>
      <c r="C862">
        <v>17</v>
      </c>
      <c r="D862">
        <v>36</v>
      </c>
      <c r="E862">
        <v>40</v>
      </c>
      <c r="F862">
        <v>48</v>
      </c>
      <c r="G862">
        <v>49</v>
      </c>
      <c r="H862">
        <v>12</v>
      </c>
    </row>
    <row r="863" spans="1:8" x14ac:dyDescent="0.2">
      <c r="A863" s="1">
        <v>42313</v>
      </c>
      <c r="B863">
        <v>2</v>
      </c>
      <c r="C863">
        <v>26</v>
      </c>
      <c r="D863">
        <v>27</v>
      </c>
      <c r="E863">
        <v>28</v>
      </c>
      <c r="F863">
        <v>37</v>
      </c>
      <c r="G863">
        <v>47</v>
      </c>
      <c r="H863">
        <v>17</v>
      </c>
    </row>
    <row r="864" spans="1:8" x14ac:dyDescent="0.2">
      <c r="A864" s="1">
        <v>42310</v>
      </c>
      <c r="B864">
        <v>1</v>
      </c>
      <c r="C864">
        <v>10</v>
      </c>
      <c r="D864">
        <v>18</v>
      </c>
      <c r="E864">
        <v>27</v>
      </c>
      <c r="F864">
        <v>35</v>
      </c>
      <c r="G864">
        <v>48</v>
      </c>
      <c r="H864">
        <v>30</v>
      </c>
    </row>
    <row r="865" spans="1:8" x14ac:dyDescent="0.2">
      <c r="A865" s="1">
        <v>42306</v>
      </c>
      <c r="B865">
        <v>7</v>
      </c>
      <c r="C865">
        <v>9</v>
      </c>
      <c r="D865">
        <v>18</v>
      </c>
      <c r="E865">
        <v>26</v>
      </c>
      <c r="F865">
        <v>36</v>
      </c>
      <c r="G865">
        <v>46</v>
      </c>
      <c r="H865">
        <v>43</v>
      </c>
    </row>
    <row r="866" spans="1:8" x14ac:dyDescent="0.2">
      <c r="A866" s="1">
        <v>42303</v>
      </c>
      <c r="B866">
        <v>1</v>
      </c>
      <c r="C866">
        <v>5</v>
      </c>
      <c r="D866">
        <v>22</v>
      </c>
      <c r="E866">
        <v>28</v>
      </c>
      <c r="F866">
        <v>48</v>
      </c>
      <c r="G866">
        <v>49</v>
      </c>
      <c r="H866">
        <v>8</v>
      </c>
    </row>
    <row r="867" spans="1:8" x14ac:dyDescent="0.2">
      <c r="A867" s="1">
        <v>42299</v>
      </c>
      <c r="B867">
        <v>5</v>
      </c>
      <c r="C867">
        <v>16</v>
      </c>
      <c r="D867">
        <v>22</v>
      </c>
      <c r="E867">
        <v>29</v>
      </c>
      <c r="F867">
        <v>48</v>
      </c>
      <c r="G867">
        <v>49</v>
      </c>
      <c r="H867">
        <v>27</v>
      </c>
    </row>
    <row r="868" spans="1:8" x14ac:dyDescent="0.2">
      <c r="A868" s="1">
        <v>42296</v>
      </c>
      <c r="B868">
        <v>10</v>
      </c>
      <c r="C868">
        <v>13</v>
      </c>
      <c r="D868">
        <v>27</v>
      </c>
      <c r="E868">
        <v>36</v>
      </c>
      <c r="F868">
        <v>39</v>
      </c>
      <c r="G868">
        <v>45</v>
      </c>
      <c r="H868">
        <v>47</v>
      </c>
    </row>
    <row r="869" spans="1:8" x14ac:dyDescent="0.2">
      <c r="A869" s="1">
        <v>42292</v>
      </c>
      <c r="B869">
        <v>7</v>
      </c>
      <c r="C869">
        <v>14</v>
      </c>
      <c r="D869">
        <v>23</v>
      </c>
      <c r="E869">
        <v>25</v>
      </c>
      <c r="F869">
        <v>28</v>
      </c>
      <c r="G869">
        <v>33</v>
      </c>
      <c r="H869">
        <v>31</v>
      </c>
    </row>
    <row r="870" spans="1:8" x14ac:dyDescent="0.2">
      <c r="A870" s="1">
        <v>42289</v>
      </c>
      <c r="B870">
        <v>6</v>
      </c>
      <c r="C870">
        <v>11</v>
      </c>
      <c r="D870">
        <v>17</v>
      </c>
      <c r="E870">
        <v>28</v>
      </c>
      <c r="F870">
        <v>41</v>
      </c>
      <c r="G870">
        <v>48</v>
      </c>
      <c r="H870">
        <v>19</v>
      </c>
    </row>
    <row r="871" spans="1:8" x14ac:dyDescent="0.2">
      <c r="A871" s="1">
        <v>42285</v>
      </c>
      <c r="B871">
        <v>6</v>
      </c>
      <c r="C871">
        <v>8</v>
      </c>
      <c r="D871">
        <v>15</v>
      </c>
      <c r="E871">
        <v>20</v>
      </c>
      <c r="F871">
        <v>25</v>
      </c>
      <c r="G871">
        <v>45</v>
      </c>
      <c r="H871">
        <v>22</v>
      </c>
    </row>
    <row r="872" spans="1:8" x14ac:dyDescent="0.2">
      <c r="A872" s="1">
        <v>42282</v>
      </c>
      <c r="B872">
        <v>1</v>
      </c>
      <c r="C872">
        <v>4</v>
      </c>
      <c r="D872">
        <v>7</v>
      </c>
      <c r="E872">
        <v>20</v>
      </c>
      <c r="F872">
        <v>26</v>
      </c>
      <c r="G872">
        <v>28</v>
      </c>
      <c r="H872">
        <v>18</v>
      </c>
    </row>
    <row r="873" spans="1:8" x14ac:dyDescent="0.2">
      <c r="A873" s="1">
        <v>42278</v>
      </c>
      <c r="B873">
        <v>3</v>
      </c>
      <c r="C873">
        <v>6</v>
      </c>
      <c r="D873">
        <v>15</v>
      </c>
      <c r="E873">
        <v>27</v>
      </c>
      <c r="F873">
        <v>36</v>
      </c>
      <c r="G873">
        <v>41</v>
      </c>
      <c r="H873">
        <v>49</v>
      </c>
    </row>
    <row r="874" spans="1:8" x14ac:dyDescent="0.2">
      <c r="A874" s="1">
        <v>42275</v>
      </c>
      <c r="B874">
        <v>12</v>
      </c>
      <c r="C874">
        <v>32</v>
      </c>
      <c r="D874">
        <v>35</v>
      </c>
      <c r="E874">
        <v>40</v>
      </c>
      <c r="F874">
        <v>41</v>
      </c>
      <c r="G874">
        <v>47</v>
      </c>
      <c r="H874">
        <v>25</v>
      </c>
    </row>
    <row r="875" spans="1:8" x14ac:dyDescent="0.2">
      <c r="A875" s="1">
        <v>42271</v>
      </c>
      <c r="B875">
        <v>8</v>
      </c>
      <c r="C875">
        <v>16</v>
      </c>
      <c r="D875">
        <v>25</v>
      </c>
      <c r="E875">
        <v>29</v>
      </c>
      <c r="F875">
        <v>31</v>
      </c>
      <c r="G875">
        <v>40</v>
      </c>
      <c r="H875">
        <v>11</v>
      </c>
    </row>
    <row r="876" spans="1:8" x14ac:dyDescent="0.2">
      <c r="A876" s="1">
        <v>42268</v>
      </c>
      <c r="B876">
        <v>8</v>
      </c>
      <c r="C876">
        <v>9</v>
      </c>
      <c r="D876">
        <v>10</v>
      </c>
      <c r="E876">
        <v>19</v>
      </c>
      <c r="F876">
        <v>28</v>
      </c>
      <c r="G876">
        <v>33</v>
      </c>
      <c r="H876">
        <v>24</v>
      </c>
    </row>
    <row r="877" spans="1:8" x14ac:dyDescent="0.2">
      <c r="A877" s="1">
        <v>42264</v>
      </c>
      <c r="B877">
        <v>5</v>
      </c>
      <c r="C877">
        <v>8</v>
      </c>
      <c r="D877">
        <v>20</v>
      </c>
      <c r="E877">
        <v>30</v>
      </c>
      <c r="F877">
        <v>35</v>
      </c>
      <c r="G877">
        <v>49</v>
      </c>
      <c r="H877">
        <v>12</v>
      </c>
    </row>
    <row r="878" spans="1:8" x14ac:dyDescent="0.2">
      <c r="A878" s="1">
        <v>42261</v>
      </c>
      <c r="B878">
        <v>3</v>
      </c>
      <c r="C878">
        <v>13</v>
      </c>
      <c r="D878">
        <v>14</v>
      </c>
      <c r="E878">
        <v>19</v>
      </c>
      <c r="F878">
        <v>25</v>
      </c>
      <c r="G878">
        <v>31</v>
      </c>
      <c r="H878">
        <v>47</v>
      </c>
    </row>
    <row r="879" spans="1:8" x14ac:dyDescent="0.2">
      <c r="A879" s="1">
        <v>42257</v>
      </c>
      <c r="B879">
        <v>27</v>
      </c>
      <c r="C879">
        <v>33</v>
      </c>
      <c r="D879">
        <v>38</v>
      </c>
      <c r="E879">
        <v>39</v>
      </c>
      <c r="F879">
        <v>41</v>
      </c>
      <c r="G879">
        <v>47</v>
      </c>
      <c r="H879">
        <v>35</v>
      </c>
    </row>
    <row r="880" spans="1:8" x14ac:dyDescent="0.2">
      <c r="A880" s="1">
        <v>42254</v>
      </c>
      <c r="B880">
        <v>1</v>
      </c>
      <c r="C880">
        <v>3</v>
      </c>
      <c r="D880">
        <v>12</v>
      </c>
      <c r="E880">
        <v>15</v>
      </c>
      <c r="F880">
        <v>26</v>
      </c>
      <c r="G880">
        <v>31</v>
      </c>
      <c r="H880">
        <v>16</v>
      </c>
    </row>
    <row r="881" spans="1:8" x14ac:dyDescent="0.2">
      <c r="A881" s="1">
        <v>42250</v>
      </c>
      <c r="B881">
        <v>1</v>
      </c>
      <c r="C881">
        <v>9</v>
      </c>
      <c r="D881">
        <v>10</v>
      </c>
      <c r="E881">
        <v>23</v>
      </c>
      <c r="F881">
        <v>24</v>
      </c>
      <c r="G881">
        <v>32</v>
      </c>
      <c r="H881">
        <v>5</v>
      </c>
    </row>
    <row r="882" spans="1:8" x14ac:dyDescent="0.2">
      <c r="A882" s="1">
        <v>42247</v>
      </c>
      <c r="B882">
        <v>5</v>
      </c>
      <c r="C882">
        <v>8</v>
      </c>
      <c r="D882">
        <v>9</v>
      </c>
      <c r="E882">
        <v>12</v>
      </c>
      <c r="F882">
        <v>18</v>
      </c>
      <c r="G882">
        <v>48</v>
      </c>
      <c r="H882">
        <v>24</v>
      </c>
    </row>
    <row r="883" spans="1:8" x14ac:dyDescent="0.2">
      <c r="A883" s="1">
        <v>42243</v>
      </c>
      <c r="B883">
        <v>13</v>
      </c>
      <c r="C883">
        <v>16</v>
      </c>
      <c r="D883">
        <v>19</v>
      </c>
      <c r="E883">
        <v>23</v>
      </c>
      <c r="F883">
        <v>25</v>
      </c>
      <c r="G883">
        <v>48</v>
      </c>
      <c r="H883">
        <v>11</v>
      </c>
    </row>
    <row r="884" spans="1:8" x14ac:dyDescent="0.2">
      <c r="A884" s="1">
        <v>42240</v>
      </c>
      <c r="B884">
        <v>5</v>
      </c>
      <c r="C884">
        <v>7</v>
      </c>
      <c r="D884">
        <v>8</v>
      </c>
      <c r="E884">
        <v>23</v>
      </c>
      <c r="F884">
        <v>29</v>
      </c>
      <c r="G884">
        <v>33</v>
      </c>
      <c r="H884">
        <v>42</v>
      </c>
    </row>
    <row r="885" spans="1:8" x14ac:dyDescent="0.2">
      <c r="A885" s="1">
        <v>42236</v>
      </c>
      <c r="B885">
        <v>3</v>
      </c>
      <c r="C885">
        <v>14</v>
      </c>
      <c r="D885">
        <v>19</v>
      </c>
      <c r="E885">
        <v>33</v>
      </c>
      <c r="F885">
        <v>38</v>
      </c>
      <c r="G885">
        <v>41</v>
      </c>
      <c r="H885">
        <v>22</v>
      </c>
    </row>
    <row r="886" spans="1:8" x14ac:dyDescent="0.2">
      <c r="A886" s="1">
        <v>42233</v>
      </c>
      <c r="B886">
        <v>2</v>
      </c>
      <c r="C886">
        <v>6</v>
      </c>
      <c r="D886">
        <v>20</v>
      </c>
      <c r="E886">
        <v>21</v>
      </c>
      <c r="F886">
        <v>27</v>
      </c>
      <c r="G886">
        <v>36</v>
      </c>
      <c r="H886">
        <v>31</v>
      </c>
    </row>
    <row r="887" spans="1:8" x14ac:dyDescent="0.2">
      <c r="A887" s="1">
        <v>42229</v>
      </c>
      <c r="B887">
        <v>8</v>
      </c>
      <c r="C887">
        <v>10</v>
      </c>
      <c r="D887">
        <v>12</v>
      </c>
      <c r="E887">
        <v>34</v>
      </c>
      <c r="F887">
        <v>38</v>
      </c>
      <c r="G887">
        <v>48</v>
      </c>
      <c r="H887">
        <v>19</v>
      </c>
    </row>
    <row r="888" spans="1:8" x14ac:dyDescent="0.2">
      <c r="A888" s="1">
        <v>42226</v>
      </c>
      <c r="B888">
        <v>6</v>
      </c>
      <c r="C888">
        <v>7</v>
      </c>
      <c r="D888">
        <v>8</v>
      </c>
      <c r="E888">
        <v>12</v>
      </c>
      <c r="F888">
        <v>37</v>
      </c>
      <c r="G888">
        <v>45</v>
      </c>
      <c r="H888">
        <v>1</v>
      </c>
    </row>
    <row r="889" spans="1:8" x14ac:dyDescent="0.2">
      <c r="A889" s="1">
        <v>42222</v>
      </c>
      <c r="B889">
        <v>11</v>
      </c>
      <c r="C889">
        <v>15</v>
      </c>
      <c r="D889">
        <v>20</v>
      </c>
      <c r="E889">
        <v>33</v>
      </c>
      <c r="F889">
        <v>38</v>
      </c>
      <c r="G889">
        <v>40</v>
      </c>
      <c r="H889">
        <v>8</v>
      </c>
    </row>
    <row r="890" spans="1:8" x14ac:dyDescent="0.2">
      <c r="A890" s="1">
        <v>42219</v>
      </c>
      <c r="B890">
        <v>18</v>
      </c>
      <c r="C890">
        <v>21</v>
      </c>
      <c r="D890">
        <v>23</v>
      </c>
      <c r="E890">
        <v>25</v>
      </c>
      <c r="F890">
        <v>26</v>
      </c>
      <c r="G890">
        <v>41</v>
      </c>
      <c r="H890">
        <v>40</v>
      </c>
    </row>
    <row r="891" spans="1:8" x14ac:dyDescent="0.2">
      <c r="A891" s="1">
        <v>42215</v>
      </c>
      <c r="B891">
        <v>2</v>
      </c>
      <c r="C891">
        <v>10</v>
      </c>
      <c r="D891">
        <v>13</v>
      </c>
      <c r="E891">
        <v>21</v>
      </c>
      <c r="F891">
        <v>25</v>
      </c>
      <c r="G891">
        <v>49</v>
      </c>
      <c r="H891">
        <v>7</v>
      </c>
    </row>
    <row r="892" spans="1:8" x14ac:dyDescent="0.2">
      <c r="A892" s="1">
        <v>42212</v>
      </c>
      <c r="B892">
        <v>6</v>
      </c>
      <c r="C892">
        <v>9</v>
      </c>
      <c r="D892">
        <v>40</v>
      </c>
      <c r="E892">
        <v>42</v>
      </c>
      <c r="F892">
        <v>43</v>
      </c>
      <c r="G892">
        <v>46</v>
      </c>
      <c r="H892">
        <v>37</v>
      </c>
    </row>
    <row r="893" spans="1:8" x14ac:dyDescent="0.2">
      <c r="A893" s="1">
        <v>42208</v>
      </c>
      <c r="B893">
        <v>4</v>
      </c>
      <c r="C893">
        <v>13</v>
      </c>
      <c r="D893">
        <v>18</v>
      </c>
      <c r="E893">
        <v>24</v>
      </c>
      <c r="F893">
        <v>34</v>
      </c>
      <c r="G893">
        <v>37</v>
      </c>
      <c r="H893">
        <v>48</v>
      </c>
    </row>
    <row r="894" spans="1:8" x14ac:dyDescent="0.2">
      <c r="A894" s="1">
        <v>42205</v>
      </c>
      <c r="B894">
        <v>3</v>
      </c>
      <c r="C894">
        <v>17</v>
      </c>
      <c r="D894">
        <v>25</v>
      </c>
      <c r="E894">
        <v>28</v>
      </c>
      <c r="F894">
        <v>34</v>
      </c>
      <c r="G894">
        <v>46</v>
      </c>
      <c r="H894">
        <v>27</v>
      </c>
    </row>
    <row r="895" spans="1:8" x14ac:dyDescent="0.2">
      <c r="A895" s="1">
        <v>42201</v>
      </c>
      <c r="B895">
        <v>2</v>
      </c>
      <c r="C895">
        <v>10</v>
      </c>
      <c r="D895">
        <v>30</v>
      </c>
      <c r="E895">
        <v>32</v>
      </c>
      <c r="F895">
        <v>42</v>
      </c>
      <c r="G895">
        <v>48</v>
      </c>
      <c r="H895">
        <v>19</v>
      </c>
    </row>
    <row r="896" spans="1:8" x14ac:dyDescent="0.2">
      <c r="A896" s="1">
        <v>42198</v>
      </c>
      <c r="B896">
        <v>31</v>
      </c>
      <c r="C896">
        <v>33</v>
      </c>
      <c r="D896">
        <v>34</v>
      </c>
      <c r="E896">
        <v>35</v>
      </c>
      <c r="F896">
        <v>37</v>
      </c>
      <c r="G896">
        <v>42</v>
      </c>
      <c r="H896">
        <v>6</v>
      </c>
    </row>
    <row r="897" spans="1:8" x14ac:dyDescent="0.2">
      <c r="A897" s="1">
        <v>42194</v>
      </c>
      <c r="B897">
        <v>5</v>
      </c>
      <c r="C897">
        <v>24</v>
      </c>
      <c r="D897">
        <v>33</v>
      </c>
      <c r="E897">
        <v>38</v>
      </c>
      <c r="F897">
        <v>42</v>
      </c>
      <c r="G897">
        <v>44</v>
      </c>
      <c r="H897">
        <v>49</v>
      </c>
    </row>
    <row r="898" spans="1:8" x14ac:dyDescent="0.2">
      <c r="A898" s="1">
        <v>42191</v>
      </c>
      <c r="B898">
        <v>1</v>
      </c>
      <c r="C898">
        <v>6</v>
      </c>
      <c r="D898">
        <v>9</v>
      </c>
      <c r="E898">
        <v>18</v>
      </c>
      <c r="F898">
        <v>21</v>
      </c>
      <c r="G898">
        <v>35</v>
      </c>
      <c r="H898">
        <v>26</v>
      </c>
    </row>
    <row r="899" spans="1:8" x14ac:dyDescent="0.2">
      <c r="A899" s="1">
        <v>42187</v>
      </c>
      <c r="B899">
        <v>7</v>
      </c>
      <c r="C899">
        <v>12</v>
      </c>
      <c r="D899">
        <v>13</v>
      </c>
      <c r="E899">
        <v>21</v>
      </c>
      <c r="F899">
        <v>30</v>
      </c>
      <c r="G899">
        <v>32</v>
      </c>
      <c r="H899">
        <v>5</v>
      </c>
    </row>
    <row r="900" spans="1:8" x14ac:dyDescent="0.2">
      <c r="A900" s="1">
        <v>42184</v>
      </c>
      <c r="B900">
        <v>2</v>
      </c>
      <c r="C900">
        <v>14</v>
      </c>
      <c r="D900">
        <v>15</v>
      </c>
      <c r="E900">
        <v>26</v>
      </c>
      <c r="F900">
        <v>29</v>
      </c>
      <c r="G900">
        <v>31</v>
      </c>
      <c r="H900">
        <v>8</v>
      </c>
    </row>
    <row r="901" spans="1:8" x14ac:dyDescent="0.2">
      <c r="A901" s="1">
        <v>42180</v>
      </c>
      <c r="B901">
        <v>14</v>
      </c>
      <c r="C901">
        <v>29</v>
      </c>
      <c r="D901">
        <v>36</v>
      </c>
      <c r="E901">
        <v>38</v>
      </c>
      <c r="F901">
        <v>39</v>
      </c>
      <c r="G901">
        <v>41</v>
      </c>
      <c r="H901">
        <v>20</v>
      </c>
    </row>
    <row r="902" spans="1:8" x14ac:dyDescent="0.2">
      <c r="A902" s="1">
        <v>42177</v>
      </c>
      <c r="B902">
        <v>3</v>
      </c>
      <c r="C902">
        <v>18</v>
      </c>
      <c r="D902">
        <v>22</v>
      </c>
      <c r="E902">
        <v>33</v>
      </c>
      <c r="F902">
        <v>47</v>
      </c>
      <c r="G902">
        <v>49</v>
      </c>
      <c r="H902">
        <v>9</v>
      </c>
    </row>
    <row r="903" spans="1:8" x14ac:dyDescent="0.2">
      <c r="A903" s="1">
        <v>42173</v>
      </c>
      <c r="B903">
        <v>5</v>
      </c>
      <c r="C903">
        <v>20</v>
      </c>
      <c r="D903">
        <v>28</v>
      </c>
      <c r="E903">
        <v>35</v>
      </c>
      <c r="F903">
        <v>39</v>
      </c>
      <c r="G903">
        <v>46</v>
      </c>
      <c r="H903">
        <v>15</v>
      </c>
    </row>
    <row r="904" spans="1:8" x14ac:dyDescent="0.2">
      <c r="A904" s="1">
        <v>42170</v>
      </c>
      <c r="B904">
        <v>9</v>
      </c>
      <c r="C904">
        <v>21</v>
      </c>
      <c r="D904">
        <v>26</v>
      </c>
      <c r="E904">
        <v>27</v>
      </c>
      <c r="F904">
        <v>29</v>
      </c>
      <c r="G904">
        <v>48</v>
      </c>
      <c r="H904">
        <v>20</v>
      </c>
    </row>
    <row r="905" spans="1:8" x14ac:dyDescent="0.2">
      <c r="A905" s="1">
        <v>42166</v>
      </c>
      <c r="B905">
        <v>7</v>
      </c>
      <c r="C905">
        <v>11</v>
      </c>
      <c r="D905">
        <v>13</v>
      </c>
      <c r="E905">
        <v>16</v>
      </c>
      <c r="F905">
        <v>38</v>
      </c>
      <c r="G905">
        <v>46</v>
      </c>
      <c r="H905">
        <v>41</v>
      </c>
    </row>
    <row r="906" spans="1:8" x14ac:dyDescent="0.2">
      <c r="A906" s="1">
        <v>42163</v>
      </c>
      <c r="B906">
        <v>20</v>
      </c>
      <c r="C906">
        <v>31</v>
      </c>
      <c r="D906">
        <v>35</v>
      </c>
      <c r="E906">
        <v>38</v>
      </c>
      <c r="F906">
        <v>42</v>
      </c>
      <c r="G906">
        <v>49</v>
      </c>
      <c r="H906">
        <v>46</v>
      </c>
    </row>
    <row r="907" spans="1:8" x14ac:dyDescent="0.2">
      <c r="A907" s="1">
        <v>42159</v>
      </c>
      <c r="B907">
        <v>3</v>
      </c>
      <c r="C907">
        <v>6</v>
      </c>
      <c r="D907">
        <v>8</v>
      </c>
      <c r="E907">
        <v>14</v>
      </c>
      <c r="F907">
        <v>18</v>
      </c>
      <c r="G907">
        <v>41</v>
      </c>
      <c r="H907">
        <v>31</v>
      </c>
    </row>
    <row r="908" spans="1:8" x14ac:dyDescent="0.2">
      <c r="A908" s="1">
        <v>42156</v>
      </c>
      <c r="B908">
        <v>5</v>
      </c>
      <c r="C908">
        <v>9</v>
      </c>
      <c r="D908">
        <v>14</v>
      </c>
      <c r="E908">
        <v>29</v>
      </c>
      <c r="F908">
        <v>32</v>
      </c>
      <c r="G908">
        <v>36</v>
      </c>
      <c r="H908">
        <v>28</v>
      </c>
    </row>
    <row r="909" spans="1:8" x14ac:dyDescent="0.2">
      <c r="A909" s="1">
        <v>42152</v>
      </c>
      <c r="B909">
        <v>5</v>
      </c>
      <c r="C909">
        <v>13</v>
      </c>
      <c r="D909">
        <v>20</v>
      </c>
      <c r="E909">
        <v>26</v>
      </c>
      <c r="F909">
        <v>31</v>
      </c>
      <c r="G909">
        <v>38</v>
      </c>
      <c r="H909">
        <v>6</v>
      </c>
    </row>
    <row r="910" spans="1:8" x14ac:dyDescent="0.2">
      <c r="A910" s="1">
        <v>42149</v>
      </c>
      <c r="B910">
        <v>13</v>
      </c>
      <c r="C910">
        <v>17</v>
      </c>
      <c r="D910">
        <v>19</v>
      </c>
      <c r="E910">
        <v>24</v>
      </c>
      <c r="F910">
        <v>26</v>
      </c>
      <c r="G910">
        <v>43</v>
      </c>
      <c r="H910">
        <v>25</v>
      </c>
    </row>
    <row r="911" spans="1:8" x14ac:dyDescent="0.2">
      <c r="A911" s="1">
        <v>42145</v>
      </c>
      <c r="B911">
        <v>6</v>
      </c>
      <c r="C911">
        <v>20</v>
      </c>
      <c r="D911">
        <v>22</v>
      </c>
      <c r="E911">
        <v>35</v>
      </c>
      <c r="F911">
        <v>36</v>
      </c>
      <c r="G911">
        <v>41</v>
      </c>
      <c r="H911">
        <v>8</v>
      </c>
    </row>
    <row r="912" spans="1:8" x14ac:dyDescent="0.2">
      <c r="A912" s="1">
        <v>42142</v>
      </c>
      <c r="B912">
        <v>17</v>
      </c>
      <c r="C912">
        <v>23</v>
      </c>
      <c r="D912">
        <v>32</v>
      </c>
      <c r="E912">
        <v>33</v>
      </c>
      <c r="F912">
        <v>41</v>
      </c>
      <c r="G912">
        <v>45</v>
      </c>
      <c r="H912">
        <v>15</v>
      </c>
    </row>
    <row r="913" spans="1:8" x14ac:dyDescent="0.2">
      <c r="A913" s="1">
        <v>42138</v>
      </c>
      <c r="B913">
        <v>8</v>
      </c>
      <c r="C913">
        <v>17</v>
      </c>
      <c r="D913">
        <v>19</v>
      </c>
      <c r="E913">
        <v>45</v>
      </c>
      <c r="F913">
        <v>47</v>
      </c>
      <c r="G913">
        <v>48</v>
      </c>
      <c r="H913">
        <v>14</v>
      </c>
    </row>
    <row r="914" spans="1:8" x14ac:dyDescent="0.2">
      <c r="A914" s="1">
        <v>42135</v>
      </c>
      <c r="B914">
        <v>3</v>
      </c>
      <c r="C914">
        <v>6</v>
      </c>
      <c r="D914">
        <v>7</v>
      </c>
      <c r="E914">
        <v>20</v>
      </c>
      <c r="F914">
        <v>21</v>
      </c>
      <c r="G914">
        <v>23</v>
      </c>
      <c r="H914">
        <v>33</v>
      </c>
    </row>
    <row r="915" spans="1:8" x14ac:dyDescent="0.2">
      <c r="A915" s="1">
        <v>42131</v>
      </c>
      <c r="B915">
        <v>8</v>
      </c>
      <c r="C915">
        <v>10</v>
      </c>
      <c r="D915">
        <v>17</v>
      </c>
      <c r="E915">
        <v>24</v>
      </c>
      <c r="F915">
        <v>32</v>
      </c>
      <c r="G915">
        <v>43</v>
      </c>
      <c r="H915">
        <v>26</v>
      </c>
    </row>
    <row r="916" spans="1:8" x14ac:dyDescent="0.2">
      <c r="A916" s="1">
        <v>42128</v>
      </c>
      <c r="B916">
        <v>6</v>
      </c>
      <c r="C916">
        <v>11</v>
      </c>
      <c r="D916">
        <v>17</v>
      </c>
      <c r="E916">
        <v>22</v>
      </c>
      <c r="F916">
        <v>25</v>
      </c>
      <c r="G916">
        <v>36</v>
      </c>
      <c r="H916">
        <v>42</v>
      </c>
    </row>
    <row r="917" spans="1:8" x14ac:dyDescent="0.2">
      <c r="A917" s="1">
        <v>42124</v>
      </c>
      <c r="B917">
        <v>18</v>
      </c>
      <c r="C917">
        <v>19</v>
      </c>
      <c r="D917">
        <v>28</v>
      </c>
      <c r="E917">
        <v>37</v>
      </c>
      <c r="F917">
        <v>46</v>
      </c>
      <c r="G917">
        <v>48</v>
      </c>
      <c r="H917">
        <v>4</v>
      </c>
    </row>
    <row r="918" spans="1:8" x14ac:dyDescent="0.2">
      <c r="A918" s="1">
        <v>42121</v>
      </c>
      <c r="B918">
        <v>2</v>
      </c>
      <c r="C918">
        <v>14</v>
      </c>
      <c r="D918">
        <v>30</v>
      </c>
      <c r="E918">
        <v>31</v>
      </c>
      <c r="F918">
        <v>46</v>
      </c>
      <c r="G918">
        <v>47</v>
      </c>
      <c r="H918">
        <v>12</v>
      </c>
    </row>
    <row r="919" spans="1:8" x14ac:dyDescent="0.2">
      <c r="A919" s="1">
        <v>42117</v>
      </c>
      <c r="B919">
        <v>1</v>
      </c>
      <c r="C919">
        <v>9</v>
      </c>
      <c r="D919">
        <v>15</v>
      </c>
      <c r="E919">
        <v>28</v>
      </c>
      <c r="F919">
        <v>42</v>
      </c>
      <c r="G919">
        <v>45</v>
      </c>
      <c r="H919">
        <v>40</v>
      </c>
    </row>
    <row r="920" spans="1:8" x14ac:dyDescent="0.2">
      <c r="A920" s="1">
        <v>42114</v>
      </c>
      <c r="B920">
        <v>9</v>
      </c>
      <c r="C920">
        <v>16</v>
      </c>
      <c r="D920">
        <v>17</v>
      </c>
      <c r="E920">
        <v>25</v>
      </c>
      <c r="F920">
        <v>27</v>
      </c>
      <c r="G920">
        <v>36</v>
      </c>
      <c r="H920">
        <v>7</v>
      </c>
    </row>
    <row r="921" spans="1:8" x14ac:dyDescent="0.2">
      <c r="A921" s="1">
        <v>42110</v>
      </c>
      <c r="B921">
        <v>3</v>
      </c>
      <c r="C921">
        <v>4</v>
      </c>
      <c r="D921">
        <v>18</v>
      </c>
      <c r="E921">
        <v>32</v>
      </c>
      <c r="F921">
        <v>35</v>
      </c>
      <c r="G921">
        <v>48</v>
      </c>
      <c r="H921">
        <v>6</v>
      </c>
    </row>
    <row r="922" spans="1:8" x14ac:dyDescent="0.2">
      <c r="A922" s="1">
        <v>42107</v>
      </c>
      <c r="B922">
        <v>6</v>
      </c>
      <c r="C922">
        <v>13</v>
      </c>
      <c r="D922">
        <v>31</v>
      </c>
      <c r="E922">
        <v>32</v>
      </c>
      <c r="F922">
        <v>40</v>
      </c>
      <c r="G922">
        <v>43</v>
      </c>
      <c r="H922">
        <v>3</v>
      </c>
    </row>
    <row r="923" spans="1:8" x14ac:dyDescent="0.2">
      <c r="A923" s="1">
        <v>42103</v>
      </c>
      <c r="B923">
        <v>6</v>
      </c>
      <c r="C923">
        <v>12</v>
      </c>
      <c r="D923">
        <v>21</v>
      </c>
      <c r="E923">
        <v>24</v>
      </c>
      <c r="F923">
        <v>25</v>
      </c>
      <c r="G923">
        <v>43</v>
      </c>
      <c r="H923">
        <v>29</v>
      </c>
    </row>
    <row r="924" spans="1:8" x14ac:dyDescent="0.2">
      <c r="A924" s="1">
        <v>42100</v>
      </c>
      <c r="B924">
        <v>3</v>
      </c>
      <c r="C924">
        <v>18</v>
      </c>
      <c r="D924">
        <v>21</v>
      </c>
      <c r="E924">
        <v>42</v>
      </c>
      <c r="F924">
        <v>45</v>
      </c>
      <c r="G924">
        <v>49</v>
      </c>
      <c r="H924">
        <v>25</v>
      </c>
    </row>
    <row r="925" spans="1:8" x14ac:dyDescent="0.2">
      <c r="A925" s="1">
        <v>42096</v>
      </c>
      <c r="B925">
        <v>11</v>
      </c>
      <c r="C925">
        <v>19</v>
      </c>
      <c r="D925">
        <v>22</v>
      </c>
      <c r="E925">
        <v>29</v>
      </c>
      <c r="F925">
        <v>42</v>
      </c>
      <c r="G925">
        <v>46</v>
      </c>
      <c r="H925">
        <v>2</v>
      </c>
    </row>
    <row r="926" spans="1:8" x14ac:dyDescent="0.2">
      <c r="A926" s="1">
        <v>42093</v>
      </c>
      <c r="B926">
        <v>11</v>
      </c>
      <c r="C926">
        <v>12</v>
      </c>
      <c r="D926">
        <v>30</v>
      </c>
      <c r="E926">
        <v>38</v>
      </c>
      <c r="F926">
        <v>45</v>
      </c>
      <c r="G926">
        <v>47</v>
      </c>
      <c r="H926">
        <v>6</v>
      </c>
    </row>
    <row r="927" spans="1:8" x14ac:dyDescent="0.2">
      <c r="A927" s="1">
        <v>42089</v>
      </c>
      <c r="B927">
        <v>5</v>
      </c>
      <c r="C927">
        <v>21</v>
      </c>
      <c r="D927">
        <v>30</v>
      </c>
      <c r="E927">
        <v>33</v>
      </c>
      <c r="F927">
        <v>39</v>
      </c>
      <c r="G927">
        <v>47</v>
      </c>
      <c r="H927">
        <v>43</v>
      </c>
    </row>
    <row r="928" spans="1:8" x14ac:dyDescent="0.2">
      <c r="A928" s="1">
        <v>42086</v>
      </c>
      <c r="B928">
        <v>1</v>
      </c>
      <c r="C928">
        <v>5</v>
      </c>
      <c r="D928">
        <v>14</v>
      </c>
      <c r="E928">
        <v>23</v>
      </c>
      <c r="F928">
        <v>40</v>
      </c>
      <c r="G928">
        <v>49</v>
      </c>
      <c r="H928">
        <v>33</v>
      </c>
    </row>
    <row r="929" spans="1:8" x14ac:dyDescent="0.2">
      <c r="A929" s="1">
        <v>42082</v>
      </c>
      <c r="B929">
        <v>3</v>
      </c>
      <c r="C929">
        <v>15</v>
      </c>
      <c r="D929">
        <v>26</v>
      </c>
      <c r="E929">
        <v>29</v>
      </c>
      <c r="F929">
        <v>38</v>
      </c>
      <c r="G929">
        <v>45</v>
      </c>
      <c r="H929">
        <v>49</v>
      </c>
    </row>
    <row r="930" spans="1:8" x14ac:dyDescent="0.2">
      <c r="A930" s="1">
        <v>42079</v>
      </c>
      <c r="B930">
        <v>7</v>
      </c>
      <c r="C930">
        <v>10</v>
      </c>
      <c r="D930">
        <v>19</v>
      </c>
      <c r="E930">
        <v>41</v>
      </c>
      <c r="F930">
        <v>43</v>
      </c>
      <c r="G930">
        <v>45</v>
      </c>
      <c r="H930">
        <v>31</v>
      </c>
    </row>
    <row r="931" spans="1:8" x14ac:dyDescent="0.2">
      <c r="A931" s="1">
        <v>42075</v>
      </c>
      <c r="B931">
        <v>14</v>
      </c>
      <c r="C931">
        <v>15</v>
      </c>
      <c r="D931">
        <v>19</v>
      </c>
      <c r="E931">
        <v>20</v>
      </c>
      <c r="F931">
        <v>36</v>
      </c>
      <c r="G931">
        <v>47</v>
      </c>
      <c r="H931">
        <v>10</v>
      </c>
    </row>
    <row r="932" spans="1:8" x14ac:dyDescent="0.2">
      <c r="A932" s="1">
        <v>42072</v>
      </c>
      <c r="B932">
        <v>9</v>
      </c>
      <c r="C932">
        <v>11</v>
      </c>
      <c r="D932">
        <v>38</v>
      </c>
      <c r="E932">
        <v>39</v>
      </c>
      <c r="F932">
        <v>44</v>
      </c>
      <c r="G932">
        <v>47</v>
      </c>
      <c r="H932">
        <v>3</v>
      </c>
    </row>
    <row r="933" spans="1:8" x14ac:dyDescent="0.2">
      <c r="A933" s="1">
        <v>42068</v>
      </c>
      <c r="B933">
        <v>5</v>
      </c>
      <c r="C933">
        <v>10</v>
      </c>
      <c r="D933">
        <v>11</v>
      </c>
      <c r="E933">
        <v>38</v>
      </c>
      <c r="F933">
        <v>44</v>
      </c>
      <c r="G933">
        <v>47</v>
      </c>
      <c r="H933">
        <v>20</v>
      </c>
    </row>
    <row r="934" spans="1:8" x14ac:dyDescent="0.2">
      <c r="A934" s="1">
        <v>42065</v>
      </c>
      <c r="B934">
        <v>7</v>
      </c>
      <c r="C934">
        <v>12</v>
      </c>
      <c r="D934">
        <v>24</v>
      </c>
      <c r="E934">
        <v>27</v>
      </c>
      <c r="F934">
        <v>35</v>
      </c>
      <c r="G934">
        <v>44</v>
      </c>
      <c r="H934">
        <v>20</v>
      </c>
    </row>
    <row r="935" spans="1:8" x14ac:dyDescent="0.2">
      <c r="A935" s="1">
        <v>42062</v>
      </c>
      <c r="B935">
        <v>2</v>
      </c>
      <c r="C935">
        <v>13</v>
      </c>
      <c r="D935">
        <v>19</v>
      </c>
      <c r="E935">
        <v>28</v>
      </c>
      <c r="F935">
        <v>41</v>
      </c>
      <c r="G935">
        <v>42</v>
      </c>
      <c r="H935">
        <v>14</v>
      </c>
    </row>
    <row r="936" spans="1:8" x14ac:dyDescent="0.2">
      <c r="A936" s="1">
        <v>42058</v>
      </c>
      <c r="B936">
        <v>1</v>
      </c>
      <c r="C936">
        <v>5</v>
      </c>
      <c r="D936">
        <v>14</v>
      </c>
      <c r="E936">
        <v>18</v>
      </c>
      <c r="F936">
        <v>24</v>
      </c>
      <c r="G936">
        <v>26</v>
      </c>
      <c r="H936">
        <v>29</v>
      </c>
    </row>
    <row r="937" spans="1:8" x14ac:dyDescent="0.2">
      <c r="A937" s="1">
        <v>42054</v>
      </c>
      <c r="B937">
        <v>2</v>
      </c>
      <c r="C937">
        <v>17</v>
      </c>
      <c r="D937">
        <v>22</v>
      </c>
      <c r="E937">
        <v>36</v>
      </c>
      <c r="F937">
        <v>37</v>
      </c>
      <c r="G937">
        <v>45</v>
      </c>
      <c r="H937">
        <v>23</v>
      </c>
    </row>
    <row r="938" spans="1:8" x14ac:dyDescent="0.2">
      <c r="A938" s="1">
        <v>42051</v>
      </c>
      <c r="B938">
        <v>19</v>
      </c>
      <c r="C938">
        <v>22</v>
      </c>
      <c r="D938">
        <v>33</v>
      </c>
      <c r="E938">
        <v>36</v>
      </c>
      <c r="F938">
        <v>37</v>
      </c>
      <c r="G938">
        <v>46</v>
      </c>
      <c r="H938">
        <v>8</v>
      </c>
    </row>
    <row r="939" spans="1:8" x14ac:dyDescent="0.2">
      <c r="A939" s="1">
        <v>42047</v>
      </c>
      <c r="B939">
        <v>12</v>
      </c>
      <c r="C939">
        <v>13</v>
      </c>
      <c r="D939">
        <v>26</v>
      </c>
      <c r="E939">
        <v>32</v>
      </c>
      <c r="F939">
        <v>42</v>
      </c>
      <c r="G939">
        <v>47</v>
      </c>
      <c r="H939">
        <v>39</v>
      </c>
    </row>
    <row r="940" spans="1:8" x14ac:dyDescent="0.2">
      <c r="A940" s="1">
        <v>42044</v>
      </c>
      <c r="B940">
        <v>4</v>
      </c>
      <c r="C940">
        <v>15</v>
      </c>
      <c r="D940">
        <v>22</v>
      </c>
      <c r="E940">
        <v>31</v>
      </c>
      <c r="F940">
        <v>32</v>
      </c>
      <c r="G940">
        <v>36</v>
      </c>
      <c r="H940">
        <v>6</v>
      </c>
    </row>
    <row r="941" spans="1:8" x14ac:dyDescent="0.2">
      <c r="A941" s="1">
        <v>42040</v>
      </c>
      <c r="B941">
        <v>8</v>
      </c>
      <c r="C941">
        <v>10</v>
      </c>
      <c r="D941">
        <v>25</v>
      </c>
      <c r="E941">
        <v>31</v>
      </c>
      <c r="F941">
        <v>45</v>
      </c>
      <c r="G941">
        <v>48</v>
      </c>
      <c r="H941">
        <v>2</v>
      </c>
    </row>
    <row r="942" spans="1:8" x14ac:dyDescent="0.2">
      <c r="A942" s="1">
        <v>42037</v>
      </c>
      <c r="B942">
        <v>8</v>
      </c>
      <c r="C942">
        <v>18</v>
      </c>
      <c r="D942">
        <v>20</v>
      </c>
      <c r="E942">
        <v>29</v>
      </c>
      <c r="F942">
        <v>39</v>
      </c>
      <c r="G942">
        <v>41</v>
      </c>
      <c r="H942">
        <v>38</v>
      </c>
    </row>
    <row r="943" spans="1:8" x14ac:dyDescent="0.2">
      <c r="A943" s="1">
        <v>42033</v>
      </c>
      <c r="B943">
        <v>6</v>
      </c>
      <c r="C943">
        <v>15</v>
      </c>
      <c r="D943">
        <v>38</v>
      </c>
      <c r="E943">
        <v>40</v>
      </c>
      <c r="F943">
        <v>45</v>
      </c>
      <c r="G943">
        <v>49</v>
      </c>
      <c r="H943">
        <v>27</v>
      </c>
    </row>
    <row r="944" spans="1:8" x14ac:dyDescent="0.2">
      <c r="A944" s="1">
        <v>42030</v>
      </c>
      <c r="B944">
        <v>6</v>
      </c>
      <c r="C944">
        <v>23</v>
      </c>
      <c r="D944">
        <v>24</v>
      </c>
      <c r="E944">
        <v>30</v>
      </c>
      <c r="F944">
        <v>36</v>
      </c>
      <c r="G944">
        <v>46</v>
      </c>
      <c r="H944">
        <v>31</v>
      </c>
    </row>
    <row r="945" spans="1:8" x14ac:dyDescent="0.2">
      <c r="A945" s="1">
        <v>42026</v>
      </c>
      <c r="B945">
        <v>5</v>
      </c>
      <c r="C945">
        <v>12</v>
      </c>
      <c r="D945">
        <v>26</v>
      </c>
      <c r="E945">
        <v>31</v>
      </c>
      <c r="F945">
        <v>40</v>
      </c>
      <c r="G945">
        <v>47</v>
      </c>
      <c r="H945">
        <v>25</v>
      </c>
    </row>
    <row r="946" spans="1:8" x14ac:dyDescent="0.2">
      <c r="A946" s="1">
        <v>42023</v>
      </c>
      <c r="B946">
        <v>21</v>
      </c>
      <c r="C946">
        <v>24</v>
      </c>
      <c r="D946">
        <v>25</v>
      </c>
      <c r="E946">
        <v>31</v>
      </c>
      <c r="F946">
        <v>33</v>
      </c>
      <c r="G946">
        <v>36</v>
      </c>
      <c r="H946">
        <v>13</v>
      </c>
    </row>
    <row r="947" spans="1:8" x14ac:dyDescent="0.2">
      <c r="A947" s="1">
        <v>42019</v>
      </c>
      <c r="B947">
        <v>2</v>
      </c>
      <c r="C947">
        <v>3</v>
      </c>
      <c r="D947">
        <v>9</v>
      </c>
      <c r="E947">
        <v>16</v>
      </c>
      <c r="F947">
        <v>33</v>
      </c>
      <c r="G947">
        <v>37</v>
      </c>
      <c r="H947">
        <v>46</v>
      </c>
    </row>
    <row r="948" spans="1:8" x14ac:dyDescent="0.2">
      <c r="A948" s="1">
        <v>42016</v>
      </c>
      <c r="B948">
        <v>25</v>
      </c>
      <c r="C948">
        <v>32</v>
      </c>
      <c r="D948">
        <v>41</v>
      </c>
      <c r="E948">
        <v>43</v>
      </c>
      <c r="F948">
        <v>47</v>
      </c>
      <c r="G948">
        <v>48</v>
      </c>
      <c r="H948">
        <v>7</v>
      </c>
    </row>
    <row r="949" spans="1:8" x14ac:dyDescent="0.2">
      <c r="A949" s="1">
        <v>42012</v>
      </c>
      <c r="B949">
        <v>5</v>
      </c>
      <c r="C949">
        <v>7</v>
      </c>
      <c r="D949">
        <v>9</v>
      </c>
      <c r="E949">
        <v>15</v>
      </c>
      <c r="F949">
        <v>34</v>
      </c>
      <c r="G949">
        <v>38</v>
      </c>
      <c r="H949">
        <v>21</v>
      </c>
    </row>
    <row r="950" spans="1:8" x14ac:dyDescent="0.2">
      <c r="A950" s="1">
        <v>42009</v>
      </c>
      <c r="B950">
        <v>1</v>
      </c>
      <c r="C950">
        <v>22</v>
      </c>
      <c r="D950">
        <v>27</v>
      </c>
      <c r="E950">
        <v>34</v>
      </c>
      <c r="F950">
        <v>35</v>
      </c>
      <c r="G950">
        <v>37</v>
      </c>
      <c r="H950">
        <v>20</v>
      </c>
    </row>
    <row r="951" spans="1:8" x14ac:dyDescent="0.2">
      <c r="A951" s="1">
        <v>42005</v>
      </c>
      <c r="B951">
        <v>1</v>
      </c>
      <c r="C951">
        <v>4</v>
      </c>
      <c r="D951">
        <v>18</v>
      </c>
      <c r="E951">
        <v>31</v>
      </c>
      <c r="F951">
        <v>48</v>
      </c>
      <c r="G951">
        <v>49</v>
      </c>
      <c r="H951">
        <v>21</v>
      </c>
    </row>
    <row r="952" spans="1:8" x14ac:dyDescent="0.2">
      <c r="A952" s="1">
        <v>42002</v>
      </c>
      <c r="B952">
        <v>1</v>
      </c>
      <c r="C952">
        <v>4</v>
      </c>
      <c r="D952">
        <v>27</v>
      </c>
      <c r="E952">
        <v>42</v>
      </c>
      <c r="F952">
        <v>44</v>
      </c>
      <c r="G952">
        <v>47</v>
      </c>
      <c r="H952">
        <v>18</v>
      </c>
    </row>
    <row r="953" spans="1:8" x14ac:dyDescent="0.2">
      <c r="A953" s="1">
        <v>41998</v>
      </c>
      <c r="B953">
        <v>1</v>
      </c>
      <c r="C953">
        <v>5</v>
      </c>
      <c r="D953">
        <v>15</v>
      </c>
      <c r="E953">
        <v>24</v>
      </c>
      <c r="F953">
        <v>25</v>
      </c>
      <c r="G953">
        <v>42</v>
      </c>
      <c r="H953">
        <v>46</v>
      </c>
    </row>
    <row r="954" spans="1:8" x14ac:dyDescent="0.2">
      <c r="A954" s="1">
        <v>41995</v>
      </c>
      <c r="B954">
        <v>5</v>
      </c>
      <c r="C954">
        <v>10</v>
      </c>
      <c r="D954">
        <v>19</v>
      </c>
      <c r="E954">
        <v>32</v>
      </c>
      <c r="F954">
        <v>38</v>
      </c>
      <c r="G954">
        <v>44</v>
      </c>
      <c r="H954">
        <v>12</v>
      </c>
    </row>
    <row r="955" spans="1:8" x14ac:dyDescent="0.2">
      <c r="A955" s="1">
        <v>41991</v>
      </c>
      <c r="B955">
        <v>9</v>
      </c>
      <c r="C955">
        <v>11</v>
      </c>
      <c r="D955">
        <v>13</v>
      </c>
      <c r="E955">
        <v>21</v>
      </c>
      <c r="F955">
        <v>27</v>
      </c>
      <c r="G955">
        <v>30</v>
      </c>
      <c r="H955">
        <v>42</v>
      </c>
    </row>
    <row r="956" spans="1:8" x14ac:dyDescent="0.2">
      <c r="A956" s="1">
        <v>41988</v>
      </c>
      <c r="B956">
        <v>5</v>
      </c>
      <c r="C956">
        <v>12</v>
      </c>
      <c r="D956">
        <v>16</v>
      </c>
      <c r="E956">
        <v>22</v>
      </c>
      <c r="F956">
        <v>26</v>
      </c>
      <c r="G956">
        <v>46</v>
      </c>
      <c r="H956">
        <v>23</v>
      </c>
    </row>
    <row r="957" spans="1:8" x14ac:dyDescent="0.2">
      <c r="A957" s="1">
        <v>41984</v>
      </c>
      <c r="B957">
        <v>19</v>
      </c>
      <c r="C957">
        <v>26</v>
      </c>
      <c r="D957">
        <v>33</v>
      </c>
      <c r="E957">
        <v>37</v>
      </c>
      <c r="F957">
        <v>38</v>
      </c>
      <c r="G957">
        <v>40</v>
      </c>
      <c r="H957">
        <v>12</v>
      </c>
    </row>
    <row r="958" spans="1:8" x14ac:dyDescent="0.2">
      <c r="A958" s="1">
        <v>41981</v>
      </c>
      <c r="B958">
        <v>17</v>
      </c>
      <c r="C958">
        <v>21</v>
      </c>
      <c r="D958">
        <v>28</v>
      </c>
      <c r="E958">
        <v>29</v>
      </c>
      <c r="F958">
        <v>39</v>
      </c>
      <c r="G958">
        <v>47</v>
      </c>
      <c r="H958">
        <v>46</v>
      </c>
    </row>
    <row r="959" spans="1:8" x14ac:dyDescent="0.2">
      <c r="A959" s="1">
        <v>41977</v>
      </c>
      <c r="B959">
        <v>10</v>
      </c>
      <c r="C959">
        <v>17</v>
      </c>
      <c r="D959">
        <v>24</v>
      </c>
      <c r="E959">
        <v>31</v>
      </c>
      <c r="F959">
        <v>37</v>
      </c>
      <c r="G959">
        <v>40</v>
      </c>
      <c r="H959">
        <v>35</v>
      </c>
    </row>
    <row r="960" spans="1:8" x14ac:dyDescent="0.2">
      <c r="A960" s="1">
        <v>41974</v>
      </c>
      <c r="B960">
        <v>1</v>
      </c>
      <c r="C960">
        <v>6</v>
      </c>
      <c r="D960">
        <v>7</v>
      </c>
      <c r="E960">
        <v>23</v>
      </c>
      <c r="F960">
        <v>30</v>
      </c>
      <c r="G960">
        <v>45</v>
      </c>
      <c r="H960">
        <v>16</v>
      </c>
    </row>
    <row r="961" spans="1:8" x14ac:dyDescent="0.2">
      <c r="A961" s="1">
        <v>41970</v>
      </c>
      <c r="B961">
        <v>5</v>
      </c>
      <c r="C961">
        <v>9</v>
      </c>
      <c r="D961">
        <v>18</v>
      </c>
      <c r="E961">
        <v>28</v>
      </c>
      <c r="F961">
        <v>44</v>
      </c>
      <c r="G961">
        <v>49</v>
      </c>
      <c r="H961">
        <v>24</v>
      </c>
    </row>
    <row r="962" spans="1:8" x14ac:dyDescent="0.2">
      <c r="A962" s="1">
        <v>41967</v>
      </c>
      <c r="B962">
        <v>4</v>
      </c>
      <c r="C962">
        <v>6</v>
      </c>
      <c r="D962">
        <v>14</v>
      </c>
      <c r="E962">
        <v>20</v>
      </c>
      <c r="F962">
        <v>36</v>
      </c>
      <c r="G962">
        <v>43</v>
      </c>
      <c r="H962">
        <v>35</v>
      </c>
    </row>
    <row r="963" spans="1:8" x14ac:dyDescent="0.2">
      <c r="A963" s="1">
        <v>41963</v>
      </c>
      <c r="B963">
        <v>2</v>
      </c>
      <c r="C963">
        <v>3</v>
      </c>
      <c r="D963">
        <v>5</v>
      </c>
      <c r="E963">
        <v>19</v>
      </c>
      <c r="F963">
        <v>25</v>
      </c>
      <c r="G963">
        <v>36</v>
      </c>
      <c r="H963">
        <v>16</v>
      </c>
    </row>
    <row r="964" spans="1:8" x14ac:dyDescent="0.2">
      <c r="A964" s="1">
        <v>41960</v>
      </c>
      <c r="B964">
        <v>2</v>
      </c>
      <c r="C964">
        <v>10</v>
      </c>
      <c r="D964">
        <v>11</v>
      </c>
      <c r="E964">
        <v>15</v>
      </c>
      <c r="F964">
        <v>40</v>
      </c>
      <c r="G964">
        <v>46</v>
      </c>
      <c r="H964">
        <v>8</v>
      </c>
    </row>
    <row r="965" spans="1:8" x14ac:dyDescent="0.2">
      <c r="A965" s="1">
        <v>41956</v>
      </c>
      <c r="B965">
        <v>9</v>
      </c>
      <c r="C965">
        <v>15</v>
      </c>
      <c r="D965">
        <v>17</v>
      </c>
      <c r="E965">
        <v>23</v>
      </c>
      <c r="F965">
        <v>27</v>
      </c>
      <c r="G965">
        <v>49</v>
      </c>
      <c r="H965">
        <v>3</v>
      </c>
    </row>
    <row r="966" spans="1:8" x14ac:dyDescent="0.2">
      <c r="A966" s="1">
        <v>41953</v>
      </c>
      <c r="B966">
        <v>2</v>
      </c>
      <c r="C966">
        <v>16</v>
      </c>
      <c r="D966">
        <v>19</v>
      </c>
      <c r="E966">
        <v>29</v>
      </c>
      <c r="F966">
        <v>33</v>
      </c>
      <c r="G966">
        <v>42</v>
      </c>
      <c r="H966">
        <v>34</v>
      </c>
    </row>
    <row r="967" spans="1:8" x14ac:dyDescent="0.2">
      <c r="A967" s="1">
        <v>41949</v>
      </c>
      <c r="B967">
        <v>2</v>
      </c>
      <c r="C967">
        <v>22</v>
      </c>
      <c r="D967">
        <v>24</v>
      </c>
      <c r="E967">
        <v>38</v>
      </c>
      <c r="F967">
        <v>46</v>
      </c>
      <c r="G967">
        <v>47</v>
      </c>
      <c r="H967">
        <v>9</v>
      </c>
    </row>
    <row r="968" spans="1:8" x14ac:dyDescent="0.2">
      <c r="A968" s="1">
        <v>41946</v>
      </c>
      <c r="B968">
        <v>31</v>
      </c>
      <c r="C968">
        <v>32</v>
      </c>
      <c r="D968">
        <v>38</v>
      </c>
      <c r="E968">
        <v>39</v>
      </c>
      <c r="F968">
        <v>40</v>
      </c>
      <c r="G968">
        <v>47</v>
      </c>
      <c r="H968">
        <v>7</v>
      </c>
    </row>
    <row r="969" spans="1:8" x14ac:dyDescent="0.2">
      <c r="A969" s="1">
        <v>41942</v>
      </c>
      <c r="B969">
        <v>12</v>
      </c>
      <c r="C969">
        <v>19</v>
      </c>
      <c r="D969">
        <v>26</v>
      </c>
      <c r="E969">
        <v>42</v>
      </c>
      <c r="F969">
        <v>45</v>
      </c>
      <c r="G969">
        <v>46</v>
      </c>
      <c r="H969">
        <v>23</v>
      </c>
    </row>
    <row r="970" spans="1:8" x14ac:dyDescent="0.2">
      <c r="A970" s="1">
        <v>41939</v>
      </c>
      <c r="B970">
        <v>5</v>
      </c>
      <c r="C970">
        <v>20</v>
      </c>
      <c r="D970">
        <v>27</v>
      </c>
      <c r="E970">
        <v>38</v>
      </c>
      <c r="F970">
        <v>42</v>
      </c>
      <c r="G970">
        <v>44</v>
      </c>
      <c r="H970">
        <v>41</v>
      </c>
    </row>
    <row r="971" spans="1:8" x14ac:dyDescent="0.2">
      <c r="A971" s="1">
        <v>41935</v>
      </c>
      <c r="B971">
        <v>5</v>
      </c>
      <c r="C971">
        <v>22</v>
      </c>
      <c r="D971">
        <v>25</v>
      </c>
      <c r="E971">
        <v>28</v>
      </c>
      <c r="F971">
        <v>33</v>
      </c>
      <c r="G971">
        <v>34</v>
      </c>
      <c r="H971">
        <v>32</v>
      </c>
    </row>
    <row r="972" spans="1:8" x14ac:dyDescent="0.2">
      <c r="A972" s="1">
        <v>41932</v>
      </c>
      <c r="B972">
        <v>8</v>
      </c>
      <c r="C972">
        <v>11</v>
      </c>
      <c r="D972">
        <v>17</v>
      </c>
      <c r="E972">
        <v>21</v>
      </c>
      <c r="F972">
        <v>41</v>
      </c>
      <c r="G972">
        <v>49</v>
      </c>
      <c r="H972">
        <v>35</v>
      </c>
    </row>
    <row r="973" spans="1:8" x14ac:dyDescent="0.2">
      <c r="A973" s="1">
        <v>41928</v>
      </c>
      <c r="B973">
        <v>4</v>
      </c>
      <c r="C973">
        <v>9</v>
      </c>
      <c r="D973">
        <v>31</v>
      </c>
      <c r="E973">
        <v>34</v>
      </c>
      <c r="F973">
        <v>40</v>
      </c>
      <c r="G973">
        <v>44</v>
      </c>
      <c r="H973">
        <v>35</v>
      </c>
    </row>
    <row r="974" spans="1:8" x14ac:dyDescent="0.2">
      <c r="A974" s="1">
        <v>41925</v>
      </c>
      <c r="B974">
        <v>19</v>
      </c>
      <c r="C974">
        <v>28</v>
      </c>
      <c r="D974">
        <v>31</v>
      </c>
      <c r="E974">
        <v>43</v>
      </c>
      <c r="F974">
        <v>45</v>
      </c>
      <c r="G974">
        <v>48</v>
      </c>
      <c r="H974">
        <v>41</v>
      </c>
    </row>
    <row r="975" spans="1:8" x14ac:dyDescent="0.2">
      <c r="A975" s="1">
        <v>41921</v>
      </c>
      <c r="B975">
        <v>11</v>
      </c>
      <c r="C975">
        <v>12</v>
      </c>
      <c r="D975">
        <v>25</v>
      </c>
      <c r="E975">
        <v>28</v>
      </c>
      <c r="F975">
        <v>34</v>
      </c>
      <c r="G975">
        <v>47</v>
      </c>
      <c r="H975">
        <v>15</v>
      </c>
    </row>
    <row r="976" spans="1:8" x14ac:dyDescent="0.2">
      <c r="A976" s="1">
        <v>41918</v>
      </c>
      <c r="B976">
        <v>5</v>
      </c>
      <c r="C976">
        <v>12</v>
      </c>
      <c r="D976">
        <v>13</v>
      </c>
      <c r="E976">
        <v>25</v>
      </c>
      <c r="F976">
        <v>33</v>
      </c>
      <c r="G976">
        <v>34</v>
      </c>
      <c r="H976">
        <v>45</v>
      </c>
    </row>
    <row r="977" spans="1:8" x14ac:dyDescent="0.2">
      <c r="A977" s="1">
        <v>41914</v>
      </c>
      <c r="B977">
        <v>1</v>
      </c>
      <c r="C977">
        <v>6</v>
      </c>
      <c r="D977">
        <v>26</v>
      </c>
      <c r="E977">
        <v>40</v>
      </c>
      <c r="F977">
        <v>41</v>
      </c>
      <c r="G977">
        <v>45</v>
      </c>
      <c r="H977">
        <v>10</v>
      </c>
    </row>
    <row r="978" spans="1:8" x14ac:dyDescent="0.2">
      <c r="A978" s="1">
        <v>41911</v>
      </c>
      <c r="B978">
        <v>8</v>
      </c>
      <c r="C978">
        <v>13</v>
      </c>
      <c r="D978">
        <v>21</v>
      </c>
      <c r="E978">
        <v>22</v>
      </c>
      <c r="F978">
        <v>28</v>
      </c>
      <c r="G978">
        <v>37</v>
      </c>
      <c r="H978">
        <v>12</v>
      </c>
    </row>
    <row r="979" spans="1:8" x14ac:dyDescent="0.2">
      <c r="A979" s="1">
        <v>41907</v>
      </c>
      <c r="B979">
        <v>12</v>
      </c>
      <c r="C979">
        <v>15</v>
      </c>
      <c r="D979">
        <v>21</v>
      </c>
      <c r="E979">
        <v>26</v>
      </c>
      <c r="F979">
        <v>29</v>
      </c>
      <c r="G979">
        <v>36</v>
      </c>
      <c r="H979">
        <v>7</v>
      </c>
    </row>
    <row r="980" spans="1:8" x14ac:dyDescent="0.2">
      <c r="A980" s="1">
        <v>41904</v>
      </c>
      <c r="B980">
        <v>9</v>
      </c>
      <c r="C980">
        <v>17</v>
      </c>
      <c r="D980">
        <v>18</v>
      </c>
      <c r="E980">
        <v>27</v>
      </c>
      <c r="F980">
        <v>29</v>
      </c>
      <c r="G980">
        <v>36</v>
      </c>
      <c r="H980">
        <v>31</v>
      </c>
    </row>
    <row r="981" spans="1:8" x14ac:dyDescent="0.2">
      <c r="A981" s="1">
        <v>41900</v>
      </c>
      <c r="B981">
        <v>2</v>
      </c>
      <c r="C981">
        <v>6</v>
      </c>
      <c r="D981">
        <v>10</v>
      </c>
      <c r="E981">
        <v>20</v>
      </c>
      <c r="F981">
        <v>21</v>
      </c>
      <c r="G981">
        <v>23</v>
      </c>
      <c r="H981">
        <v>42</v>
      </c>
    </row>
    <row r="982" spans="1:8" x14ac:dyDescent="0.2">
      <c r="A982" s="1">
        <v>41897</v>
      </c>
      <c r="B982">
        <v>5</v>
      </c>
      <c r="C982">
        <v>6</v>
      </c>
      <c r="D982">
        <v>14</v>
      </c>
      <c r="E982">
        <v>22</v>
      </c>
      <c r="F982">
        <v>30</v>
      </c>
      <c r="G982">
        <v>39</v>
      </c>
      <c r="H982">
        <v>18</v>
      </c>
    </row>
    <row r="983" spans="1:8" x14ac:dyDescent="0.2">
      <c r="A983" s="1">
        <v>41893</v>
      </c>
      <c r="B983">
        <v>2</v>
      </c>
      <c r="C983">
        <v>13</v>
      </c>
      <c r="D983">
        <v>18</v>
      </c>
      <c r="E983">
        <v>19</v>
      </c>
      <c r="F983">
        <v>33</v>
      </c>
      <c r="G983">
        <v>36</v>
      </c>
      <c r="H983">
        <v>23</v>
      </c>
    </row>
    <row r="984" spans="1:8" x14ac:dyDescent="0.2">
      <c r="A984" s="1">
        <v>41890</v>
      </c>
      <c r="B984">
        <v>3</v>
      </c>
      <c r="C984">
        <v>14</v>
      </c>
      <c r="D984">
        <v>22</v>
      </c>
      <c r="E984">
        <v>30</v>
      </c>
      <c r="F984">
        <v>37</v>
      </c>
      <c r="G984">
        <v>42</v>
      </c>
      <c r="H984">
        <v>41</v>
      </c>
    </row>
    <row r="985" spans="1:8" x14ac:dyDescent="0.2">
      <c r="A985" s="1">
        <v>41886</v>
      </c>
      <c r="B985">
        <v>15</v>
      </c>
      <c r="C985">
        <v>16</v>
      </c>
      <c r="D985">
        <v>17</v>
      </c>
      <c r="E985">
        <v>27</v>
      </c>
      <c r="F985">
        <v>31</v>
      </c>
      <c r="G985">
        <v>42</v>
      </c>
      <c r="H985">
        <v>30</v>
      </c>
    </row>
    <row r="986" spans="1:8" x14ac:dyDescent="0.2">
      <c r="A986" s="1">
        <v>41883</v>
      </c>
      <c r="B986">
        <v>4</v>
      </c>
      <c r="C986">
        <v>9</v>
      </c>
      <c r="D986">
        <v>32</v>
      </c>
      <c r="E986">
        <v>37</v>
      </c>
      <c r="F986">
        <v>40</v>
      </c>
      <c r="G986">
        <v>44</v>
      </c>
      <c r="H986">
        <v>10</v>
      </c>
    </row>
    <row r="987" spans="1:8" x14ac:dyDescent="0.2">
      <c r="A987" s="1">
        <v>41879</v>
      </c>
      <c r="B987">
        <v>13</v>
      </c>
      <c r="C987">
        <v>19</v>
      </c>
      <c r="D987">
        <v>20</v>
      </c>
      <c r="E987">
        <v>24</v>
      </c>
      <c r="F987">
        <v>39</v>
      </c>
      <c r="G987">
        <v>43</v>
      </c>
      <c r="H987">
        <v>17</v>
      </c>
    </row>
    <row r="988" spans="1:8" x14ac:dyDescent="0.2">
      <c r="A988" s="1">
        <v>41876</v>
      </c>
      <c r="B988">
        <v>10</v>
      </c>
      <c r="C988">
        <v>11</v>
      </c>
      <c r="D988">
        <v>14</v>
      </c>
      <c r="E988">
        <v>20</v>
      </c>
      <c r="F988">
        <v>40</v>
      </c>
      <c r="G988">
        <v>42</v>
      </c>
      <c r="H988">
        <v>8</v>
      </c>
    </row>
    <row r="989" spans="1:8" x14ac:dyDescent="0.2">
      <c r="A989" s="1">
        <v>41872</v>
      </c>
      <c r="B989">
        <v>3</v>
      </c>
      <c r="C989">
        <v>4</v>
      </c>
      <c r="D989">
        <v>16</v>
      </c>
      <c r="E989">
        <v>18</v>
      </c>
      <c r="F989">
        <v>19</v>
      </c>
      <c r="G989">
        <v>42</v>
      </c>
      <c r="H989">
        <v>13</v>
      </c>
    </row>
    <row r="990" spans="1:8" x14ac:dyDescent="0.2">
      <c r="A990" s="1">
        <v>41869</v>
      </c>
      <c r="B990">
        <v>16</v>
      </c>
      <c r="C990">
        <v>18</v>
      </c>
      <c r="D990">
        <v>19</v>
      </c>
      <c r="E990">
        <v>21</v>
      </c>
      <c r="F990">
        <v>37</v>
      </c>
      <c r="G990">
        <v>39</v>
      </c>
      <c r="H990">
        <v>32</v>
      </c>
    </row>
    <row r="991" spans="1:8" x14ac:dyDescent="0.2">
      <c r="A991" s="1">
        <v>41865</v>
      </c>
      <c r="B991">
        <v>15</v>
      </c>
      <c r="C991">
        <v>16</v>
      </c>
      <c r="D991">
        <v>19</v>
      </c>
      <c r="E991">
        <v>32</v>
      </c>
      <c r="F991">
        <v>34</v>
      </c>
      <c r="G991">
        <v>44</v>
      </c>
      <c r="H991">
        <v>41</v>
      </c>
    </row>
    <row r="992" spans="1:8" x14ac:dyDescent="0.2">
      <c r="A992" s="1">
        <v>41862</v>
      </c>
      <c r="B992">
        <v>1</v>
      </c>
      <c r="C992">
        <v>7</v>
      </c>
      <c r="D992">
        <v>9</v>
      </c>
      <c r="E992">
        <v>24</v>
      </c>
      <c r="F992">
        <v>25</v>
      </c>
      <c r="G992">
        <v>31</v>
      </c>
      <c r="H992">
        <v>28</v>
      </c>
    </row>
    <row r="993" spans="1:8" x14ac:dyDescent="0.2">
      <c r="A993" s="1">
        <v>41858</v>
      </c>
      <c r="B993">
        <v>3</v>
      </c>
      <c r="C993">
        <v>4</v>
      </c>
      <c r="D993">
        <v>8</v>
      </c>
      <c r="E993">
        <v>17</v>
      </c>
      <c r="F993">
        <v>19</v>
      </c>
      <c r="G993">
        <v>33</v>
      </c>
      <c r="H993">
        <v>9</v>
      </c>
    </row>
    <row r="994" spans="1:8" x14ac:dyDescent="0.2">
      <c r="A994" s="1">
        <v>41855</v>
      </c>
      <c r="B994">
        <v>3</v>
      </c>
      <c r="C994">
        <v>7</v>
      </c>
      <c r="D994">
        <v>18</v>
      </c>
      <c r="E994">
        <v>30</v>
      </c>
      <c r="F994">
        <v>37</v>
      </c>
      <c r="G994">
        <v>44</v>
      </c>
      <c r="H994">
        <v>17</v>
      </c>
    </row>
    <row r="995" spans="1:8" x14ac:dyDescent="0.2">
      <c r="A995" s="1">
        <v>41852</v>
      </c>
      <c r="B995">
        <v>3</v>
      </c>
      <c r="C995">
        <v>17</v>
      </c>
      <c r="D995">
        <v>37</v>
      </c>
      <c r="E995">
        <v>40</v>
      </c>
      <c r="F995">
        <v>41</v>
      </c>
      <c r="G995">
        <v>42</v>
      </c>
      <c r="H995">
        <v>15</v>
      </c>
    </row>
    <row r="996" spans="1:8" x14ac:dyDescent="0.2">
      <c r="A996" s="1">
        <v>41848</v>
      </c>
      <c r="B996">
        <v>11</v>
      </c>
      <c r="C996">
        <v>12</v>
      </c>
      <c r="D996">
        <v>16</v>
      </c>
      <c r="E996">
        <v>22</v>
      </c>
      <c r="F996">
        <v>23</v>
      </c>
      <c r="G996">
        <v>27</v>
      </c>
      <c r="H996">
        <v>10</v>
      </c>
    </row>
    <row r="997" spans="1:8" x14ac:dyDescent="0.2">
      <c r="A997" s="1">
        <v>41844</v>
      </c>
      <c r="B997">
        <v>1</v>
      </c>
      <c r="C997">
        <v>5</v>
      </c>
      <c r="D997">
        <v>16</v>
      </c>
      <c r="E997">
        <v>34</v>
      </c>
      <c r="F997">
        <v>38</v>
      </c>
      <c r="G997">
        <v>45</v>
      </c>
      <c r="H997">
        <v>13</v>
      </c>
    </row>
    <row r="998" spans="1:8" x14ac:dyDescent="0.2">
      <c r="A998" s="1">
        <v>41841</v>
      </c>
      <c r="B998">
        <v>21</v>
      </c>
      <c r="C998">
        <v>22</v>
      </c>
      <c r="D998">
        <v>25</v>
      </c>
      <c r="E998">
        <v>32</v>
      </c>
      <c r="F998">
        <v>33</v>
      </c>
      <c r="G998">
        <v>36</v>
      </c>
      <c r="H998">
        <v>40</v>
      </c>
    </row>
    <row r="999" spans="1:8" x14ac:dyDescent="0.2">
      <c r="A999" s="1">
        <v>41837</v>
      </c>
      <c r="B999">
        <v>6</v>
      </c>
      <c r="C999">
        <v>11</v>
      </c>
      <c r="D999">
        <v>20</v>
      </c>
      <c r="E999">
        <v>28</v>
      </c>
      <c r="F999">
        <v>35</v>
      </c>
      <c r="G999">
        <v>38</v>
      </c>
      <c r="H999">
        <v>34</v>
      </c>
    </row>
    <row r="1000" spans="1:8" x14ac:dyDescent="0.2">
      <c r="A1000" s="1">
        <v>41834</v>
      </c>
      <c r="B1000">
        <v>2</v>
      </c>
      <c r="C1000">
        <v>3</v>
      </c>
      <c r="D1000">
        <v>6</v>
      </c>
      <c r="E1000">
        <v>19</v>
      </c>
      <c r="F1000">
        <v>23</v>
      </c>
      <c r="G1000">
        <v>24</v>
      </c>
      <c r="H1000">
        <v>31</v>
      </c>
    </row>
    <row r="1001" spans="1:8" x14ac:dyDescent="0.2">
      <c r="A1001" s="1">
        <v>41830</v>
      </c>
      <c r="B1001">
        <v>5</v>
      </c>
      <c r="C1001">
        <v>11</v>
      </c>
      <c r="D1001">
        <v>16</v>
      </c>
      <c r="E1001">
        <v>32</v>
      </c>
      <c r="F1001">
        <v>37</v>
      </c>
      <c r="G1001">
        <v>43</v>
      </c>
      <c r="H1001">
        <v>15</v>
      </c>
    </row>
    <row r="1002" spans="1:8" x14ac:dyDescent="0.2">
      <c r="A1002" s="1">
        <v>41827</v>
      </c>
      <c r="B1002">
        <v>9</v>
      </c>
      <c r="C1002">
        <v>21</v>
      </c>
      <c r="D1002">
        <v>29</v>
      </c>
      <c r="E1002">
        <v>38</v>
      </c>
      <c r="F1002">
        <v>44</v>
      </c>
      <c r="G1002">
        <v>45</v>
      </c>
      <c r="H1002">
        <v>10</v>
      </c>
    </row>
    <row r="1003" spans="1:8" x14ac:dyDescent="0.2">
      <c r="A1003" s="1">
        <v>41823</v>
      </c>
      <c r="B1003">
        <v>8</v>
      </c>
      <c r="C1003">
        <v>24</v>
      </c>
      <c r="D1003">
        <v>26</v>
      </c>
      <c r="E1003">
        <v>28</v>
      </c>
      <c r="F1003">
        <v>40</v>
      </c>
      <c r="G1003">
        <v>43</v>
      </c>
      <c r="H1003">
        <v>29</v>
      </c>
    </row>
    <row r="1004" spans="1:8" x14ac:dyDescent="0.2">
      <c r="A1004" s="1">
        <v>41820</v>
      </c>
      <c r="B1004">
        <v>2</v>
      </c>
      <c r="C1004">
        <v>9</v>
      </c>
      <c r="D1004">
        <v>11</v>
      </c>
      <c r="E1004">
        <v>12</v>
      </c>
      <c r="F1004">
        <v>22</v>
      </c>
      <c r="G1004">
        <v>37</v>
      </c>
      <c r="H1004">
        <v>26</v>
      </c>
    </row>
    <row r="1005" spans="1:8" x14ac:dyDescent="0.2">
      <c r="A1005" s="1">
        <v>41816</v>
      </c>
      <c r="B1005">
        <v>17</v>
      </c>
      <c r="C1005">
        <v>25</v>
      </c>
      <c r="D1005">
        <v>29</v>
      </c>
      <c r="E1005">
        <v>34</v>
      </c>
      <c r="F1005">
        <v>39</v>
      </c>
      <c r="G1005">
        <v>44</v>
      </c>
      <c r="H1005">
        <v>38</v>
      </c>
    </row>
    <row r="1006" spans="1:8" x14ac:dyDescent="0.2">
      <c r="A1006" s="1">
        <v>41813</v>
      </c>
      <c r="B1006">
        <v>4</v>
      </c>
      <c r="C1006">
        <v>29</v>
      </c>
      <c r="D1006">
        <v>30</v>
      </c>
      <c r="E1006">
        <v>35</v>
      </c>
      <c r="F1006">
        <v>37</v>
      </c>
      <c r="G1006">
        <v>38</v>
      </c>
      <c r="H1006">
        <v>10</v>
      </c>
    </row>
    <row r="1007" spans="1:8" x14ac:dyDescent="0.2">
      <c r="A1007" s="1">
        <v>41809</v>
      </c>
      <c r="B1007">
        <v>4</v>
      </c>
      <c r="C1007">
        <v>7</v>
      </c>
      <c r="D1007">
        <v>11</v>
      </c>
      <c r="E1007">
        <v>27</v>
      </c>
      <c r="F1007">
        <v>39</v>
      </c>
      <c r="G1007">
        <v>43</v>
      </c>
      <c r="H1007">
        <v>37</v>
      </c>
    </row>
    <row r="1008" spans="1:8" x14ac:dyDescent="0.2">
      <c r="A1008" s="1">
        <v>41806</v>
      </c>
      <c r="B1008">
        <v>1</v>
      </c>
      <c r="C1008">
        <v>19</v>
      </c>
      <c r="D1008">
        <v>22</v>
      </c>
      <c r="E1008">
        <v>31</v>
      </c>
      <c r="F1008">
        <v>34</v>
      </c>
      <c r="G1008">
        <v>44</v>
      </c>
      <c r="H1008">
        <v>43</v>
      </c>
    </row>
    <row r="1009" spans="1:8" x14ac:dyDescent="0.2">
      <c r="A1009" s="1">
        <v>41802</v>
      </c>
      <c r="B1009">
        <v>8</v>
      </c>
      <c r="C1009">
        <v>13</v>
      </c>
      <c r="D1009">
        <v>29</v>
      </c>
      <c r="E1009">
        <v>31</v>
      </c>
      <c r="F1009">
        <v>39</v>
      </c>
      <c r="G1009">
        <v>40</v>
      </c>
      <c r="H1009">
        <v>21</v>
      </c>
    </row>
    <row r="1010" spans="1:8" x14ac:dyDescent="0.2">
      <c r="A1010" s="1">
        <v>41799</v>
      </c>
      <c r="B1010">
        <v>10</v>
      </c>
      <c r="C1010">
        <v>12</v>
      </c>
      <c r="D1010">
        <v>14</v>
      </c>
      <c r="E1010">
        <v>26</v>
      </c>
      <c r="F1010">
        <v>33</v>
      </c>
      <c r="G1010">
        <v>40</v>
      </c>
      <c r="H1010">
        <v>6</v>
      </c>
    </row>
    <row r="1011" spans="1:8" x14ac:dyDescent="0.2">
      <c r="A1011" s="1">
        <v>41795</v>
      </c>
      <c r="B1011">
        <v>11</v>
      </c>
      <c r="C1011">
        <v>13</v>
      </c>
      <c r="D1011">
        <v>18</v>
      </c>
      <c r="E1011">
        <v>19</v>
      </c>
      <c r="F1011">
        <v>20</v>
      </c>
      <c r="G1011">
        <v>36</v>
      </c>
      <c r="H1011">
        <v>15</v>
      </c>
    </row>
    <row r="1012" spans="1:8" x14ac:dyDescent="0.2">
      <c r="A1012" s="1">
        <v>41792</v>
      </c>
      <c r="B1012">
        <v>9</v>
      </c>
      <c r="C1012">
        <v>19</v>
      </c>
      <c r="D1012">
        <v>23</v>
      </c>
      <c r="E1012">
        <v>35</v>
      </c>
      <c r="F1012">
        <v>39</v>
      </c>
      <c r="G1012">
        <v>45</v>
      </c>
      <c r="H1012">
        <v>41</v>
      </c>
    </row>
    <row r="1013" spans="1:8" x14ac:dyDescent="0.2">
      <c r="A1013" s="1">
        <v>41788</v>
      </c>
      <c r="B1013">
        <v>17</v>
      </c>
      <c r="C1013">
        <v>19</v>
      </c>
      <c r="D1013">
        <v>38</v>
      </c>
      <c r="E1013">
        <v>40</v>
      </c>
      <c r="F1013">
        <v>41</v>
      </c>
      <c r="G1013">
        <v>42</v>
      </c>
      <c r="H1013">
        <v>28</v>
      </c>
    </row>
    <row r="1014" spans="1:8" x14ac:dyDescent="0.2">
      <c r="A1014" s="1">
        <v>41785</v>
      </c>
      <c r="B1014">
        <v>8</v>
      </c>
      <c r="C1014">
        <v>10</v>
      </c>
      <c r="D1014">
        <v>14</v>
      </c>
      <c r="E1014">
        <v>17</v>
      </c>
      <c r="F1014">
        <v>34</v>
      </c>
      <c r="G1014">
        <v>37</v>
      </c>
      <c r="H1014">
        <v>32</v>
      </c>
    </row>
    <row r="1015" spans="1:8" x14ac:dyDescent="0.2">
      <c r="A1015" s="1">
        <v>41782</v>
      </c>
      <c r="B1015">
        <v>1</v>
      </c>
      <c r="C1015">
        <v>7</v>
      </c>
      <c r="D1015">
        <v>13</v>
      </c>
      <c r="E1015">
        <v>24</v>
      </c>
      <c r="F1015">
        <v>28</v>
      </c>
      <c r="G1015">
        <v>38</v>
      </c>
      <c r="H1015">
        <v>32</v>
      </c>
    </row>
    <row r="1016" spans="1:8" x14ac:dyDescent="0.2">
      <c r="A1016" s="1">
        <v>41778</v>
      </c>
      <c r="B1016">
        <v>5</v>
      </c>
      <c r="C1016">
        <v>8</v>
      </c>
      <c r="D1016">
        <v>18</v>
      </c>
      <c r="E1016">
        <v>31</v>
      </c>
      <c r="F1016">
        <v>32</v>
      </c>
      <c r="G1016">
        <v>42</v>
      </c>
      <c r="H1016">
        <v>34</v>
      </c>
    </row>
    <row r="1017" spans="1:8" x14ac:dyDescent="0.2">
      <c r="A1017" s="1">
        <v>41774</v>
      </c>
      <c r="B1017">
        <v>5</v>
      </c>
      <c r="C1017">
        <v>8</v>
      </c>
      <c r="D1017">
        <v>21</v>
      </c>
      <c r="E1017">
        <v>26</v>
      </c>
      <c r="F1017">
        <v>27</v>
      </c>
      <c r="G1017">
        <v>43</v>
      </c>
      <c r="H1017">
        <v>15</v>
      </c>
    </row>
    <row r="1018" spans="1:8" x14ac:dyDescent="0.2">
      <c r="A1018" s="1">
        <v>41771</v>
      </c>
      <c r="B1018">
        <v>2</v>
      </c>
      <c r="C1018">
        <v>3</v>
      </c>
      <c r="D1018">
        <v>9</v>
      </c>
      <c r="E1018">
        <v>23</v>
      </c>
      <c r="F1018">
        <v>28</v>
      </c>
      <c r="G1018">
        <v>43</v>
      </c>
      <c r="H1018">
        <v>41</v>
      </c>
    </row>
    <row r="1019" spans="1:8" x14ac:dyDescent="0.2">
      <c r="A1019" s="1">
        <v>41767</v>
      </c>
      <c r="B1019">
        <v>1</v>
      </c>
      <c r="C1019">
        <v>11</v>
      </c>
      <c r="D1019">
        <v>18</v>
      </c>
      <c r="E1019">
        <v>32</v>
      </c>
      <c r="F1019">
        <v>34</v>
      </c>
      <c r="G1019">
        <v>41</v>
      </c>
      <c r="H1019">
        <v>45</v>
      </c>
    </row>
    <row r="1020" spans="1:8" x14ac:dyDescent="0.2">
      <c r="A1020" s="1">
        <v>41764</v>
      </c>
      <c r="B1020">
        <v>4</v>
      </c>
      <c r="C1020">
        <v>7</v>
      </c>
      <c r="D1020">
        <v>15</v>
      </c>
      <c r="E1020">
        <v>27</v>
      </c>
      <c r="F1020">
        <v>37</v>
      </c>
      <c r="G1020">
        <v>42</v>
      </c>
      <c r="H1020">
        <v>3</v>
      </c>
    </row>
    <row r="1021" spans="1:8" x14ac:dyDescent="0.2">
      <c r="A1021" s="1">
        <v>41760</v>
      </c>
      <c r="B1021">
        <v>6</v>
      </c>
      <c r="C1021">
        <v>10</v>
      </c>
      <c r="D1021">
        <v>11</v>
      </c>
      <c r="E1021">
        <v>13</v>
      </c>
      <c r="F1021">
        <v>29</v>
      </c>
      <c r="G1021">
        <v>45</v>
      </c>
      <c r="H1021">
        <v>23</v>
      </c>
    </row>
    <row r="1022" spans="1:8" x14ac:dyDescent="0.2">
      <c r="A1022" s="1">
        <v>41757</v>
      </c>
      <c r="B1022">
        <v>4</v>
      </c>
      <c r="C1022">
        <v>6</v>
      </c>
      <c r="D1022">
        <v>13</v>
      </c>
      <c r="E1022">
        <v>17</v>
      </c>
      <c r="F1022">
        <v>32</v>
      </c>
      <c r="G1022">
        <v>35</v>
      </c>
      <c r="H1022">
        <v>11</v>
      </c>
    </row>
    <row r="1023" spans="1:8" x14ac:dyDescent="0.2">
      <c r="A1023" s="1">
        <v>41753</v>
      </c>
      <c r="B1023">
        <v>5</v>
      </c>
      <c r="C1023">
        <v>8</v>
      </c>
      <c r="D1023">
        <v>20</v>
      </c>
      <c r="E1023">
        <v>27</v>
      </c>
      <c r="F1023">
        <v>39</v>
      </c>
      <c r="G1023">
        <v>40</v>
      </c>
      <c r="H1023">
        <v>42</v>
      </c>
    </row>
    <row r="1024" spans="1:8" x14ac:dyDescent="0.2">
      <c r="A1024" s="1">
        <v>41750</v>
      </c>
      <c r="B1024">
        <v>3</v>
      </c>
      <c r="C1024">
        <v>7</v>
      </c>
      <c r="D1024">
        <v>10</v>
      </c>
      <c r="E1024">
        <v>21</v>
      </c>
      <c r="F1024">
        <v>32</v>
      </c>
      <c r="G1024">
        <v>38</v>
      </c>
      <c r="H1024">
        <v>22</v>
      </c>
    </row>
    <row r="1025" spans="1:8" x14ac:dyDescent="0.2">
      <c r="A1025" s="1">
        <v>41746</v>
      </c>
      <c r="B1025">
        <v>8</v>
      </c>
      <c r="C1025">
        <v>11</v>
      </c>
      <c r="D1025">
        <v>16</v>
      </c>
      <c r="E1025">
        <v>21</v>
      </c>
      <c r="F1025">
        <v>33</v>
      </c>
      <c r="G1025">
        <v>40</v>
      </c>
      <c r="H1025">
        <v>5</v>
      </c>
    </row>
    <row r="1026" spans="1:8" x14ac:dyDescent="0.2">
      <c r="A1026" s="1">
        <v>41743</v>
      </c>
      <c r="B1026">
        <v>15</v>
      </c>
      <c r="C1026">
        <v>18</v>
      </c>
      <c r="D1026">
        <v>21</v>
      </c>
      <c r="E1026">
        <v>27</v>
      </c>
      <c r="F1026">
        <v>32</v>
      </c>
      <c r="G1026">
        <v>45</v>
      </c>
      <c r="H1026">
        <v>11</v>
      </c>
    </row>
    <row r="1027" spans="1:8" x14ac:dyDescent="0.2">
      <c r="A1027" s="1">
        <v>41739</v>
      </c>
      <c r="B1027">
        <v>14</v>
      </c>
      <c r="C1027">
        <v>18</v>
      </c>
      <c r="D1027">
        <v>19</v>
      </c>
      <c r="E1027">
        <v>34</v>
      </c>
      <c r="F1027">
        <v>35</v>
      </c>
      <c r="G1027">
        <v>36</v>
      </c>
      <c r="H1027">
        <v>17</v>
      </c>
    </row>
    <row r="1028" spans="1:8" x14ac:dyDescent="0.2">
      <c r="A1028" s="1">
        <v>41736</v>
      </c>
      <c r="B1028">
        <v>5</v>
      </c>
      <c r="C1028">
        <v>12</v>
      </c>
      <c r="D1028">
        <v>20</v>
      </c>
      <c r="E1028">
        <v>25</v>
      </c>
      <c r="F1028">
        <v>26</v>
      </c>
      <c r="G1028">
        <v>39</v>
      </c>
      <c r="H1028">
        <v>1</v>
      </c>
    </row>
    <row r="1029" spans="1:8" x14ac:dyDescent="0.2">
      <c r="A1029" s="1">
        <v>41732</v>
      </c>
      <c r="B1029">
        <v>10</v>
      </c>
      <c r="C1029">
        <v>11</v>
      </c>
      <c r="D1029">
        <v>17</v>
      </c>
      <c r="E1029">
        <v>19</v>
      </c>
      <c r="F1029">
        <v>27</v>
      </c>
      <c r="G1029">
        <v>37</v>
      </c>
      <c r="H1029">
        <v>24</v>
      </c>
    </row>
    <row r="1030" spans="1:8" x14ac:dyDescent="0.2">
      <c r="A1030" s="1">
        <v>41729</v>
      </c>
      <c r="B1030">
        <v>5</v>
      </c>
      <c r="C1030">
        <v>10</v>
      </c>
      <c r="D1030">
        <v>11</v>
      </c>
      <c r="E1030">
        <v>23</v>
      </c>
      <c r="F1030">
        <v>41</v>
      </c>
      <c r="G1030">
        <v>43</v>
      </c>
      <c r="H1030">
        <v>24</v>
      </c>
    </row>
    <row r="1031" spans="1:8" x14ac:dyDescent="0.2">
      <c r="A1031" s="1">
        <v>41725</v>
      </c>
      <c r="B1031">
        <v>5</v>
      </c>
      <c r="C1031">
        <v>8</v>
      </c>
      <c r="D1031">
        <v>9</v>
      </c>
      <c r="E1031">
        <v>15</v>
      </c>
      <c r="F1031">
        <v>16</v>
      </c>
      <c r="G1031">
        <v>21</v>
      </c>
      <c r="H1031">
        <v>26</v>
      </c>
    </row>
    <row r="1032" spans="1:8" x14ac:dyDescent="0.2">
      <c r="A1032" s="1">
        <v>41722</v>
      </c>
      <c r="B1032">
        <v>1</v>
      </c>
      <c r="C1032">
        <v>4</v>
      </c>
      <c r="D1032">
        <v>10</v>
      </c>
      <c r="E1032">
        <v>16</v>
      </c>
      <c r="F1032">
        <v>36</v>
      </c>
      <c r="G1032">
        <v>42</v>
      </c>
      <c r="H1032">
        <v>44</v>
      </c>
    </row>
    <row r="1033" spans="1:8" x14ac:dyDescent="0.2">
      <c r="A1033" s="1">
        <v>41718</v>
      </c>
      <c r="B1033">
        <v>3</v>
      </c>
      <c r="C1033">
        <v>7</v>
      </c>
      <c r="D1033">
        <v>11</v>
      </c>
      <c r="E1033">
        <v>21</v>
      </c>
      <c r="F1033">
        <v>25</v>
      </c>
      <c r="G1033">
        <v>33</v>
      </c>
      <c r="H1033">
        <v>39</v>
      </c>
    </row>
    <row r="1034" spans="1:8" x14ac:dyDescent="0.2">
      <c r="A1034" s="1">
        <v>41715</v>
      </c>
      <c r="B1034">
        <v>1</v>
      </c>
      <c r="C1034">
        <v>8</v>
      </c>
      <c r="D1034">
        <v>14</v>
      </c>
      <c r="E1034">
        <v>28</v>
      </c>
      <c r="F1034">
        <v>32</v>
      </c>
      <c r="G1034">
        <v>38</v>
      </c>
      <c r="H1034">
        <v>5</v>
      </c>
    </row>
    <row r="1035" spans="1:8" x14ac:dyDescent="0.2">
      <c r="A1035" s="1">
        <v>41711</v>
      </c>
      <c r="B1035">
        <v>3</v>
      </c>
      <c r="C1035">
        <v>7</v>
      </c>
      <c r="D1035">
        <v>20</v>
      </c>
      <c r="E1035">
        <v>36</v>
      </c>
      <c r="F1035">
        <v>39</v>
      </c>
      <c r="G1035">
        <v>45</v>
      </c>
      <c r="H1035">
        <v>6</v>
      </c>
    </row>
    <row r="1036" spans="1:8" x14ac:dyDescent="0.2">
      <c r="A1036" s="1">
        <v>41708</v>
      </c>
      <c r="B1036">
        <v>13</v>
      </c>
      <c r="C1036">
        <v>15</v>
      </c>
      <c r="D1036">
        <v>21</v>
      </c>
      <c r="E1036">
        <v>29</v>
      </c>
      <c r="F1036">
        <v>31</v>
      </c>
      <c r="G1036">
        <v>33</v>
      </c>
      <c r="H1036">
        <v>5</v>
      </c>
    </row>
    <row r="1037" spans="1:8" x14ac:dyDescent="0.2">
      <c r="A1037" s="1">
        <v>41704</v>
      </c>
      <c r="B1037">
        <v>4</v>
      </c>
      <c r="C1037">
        <v>7</v>
      </c>
      <c r="D1037">
        <v>8</v>
      </c>
      <c r="E1037">
        <v>24</v>
      </c>
      <c r="F1037">
        <v>29</v>
      </c>
      <c r="G1037">
        <v>42</v>
      </c>
      <c r="H1037">
        <v>26</v>
      </c>
    </row>
    <row r="1038" spans="1:8" x14ac:dyDescent="0.2">
      <c r="A1038" s="1">
        <v>41701</v>
      </c>
      <c r="B1038">
        <v>2</v>
      </c>
      <c r="C1038">
        <v>4</v>
      </c>
      <c r="D1038">
        <v>18</v>
      </c>
      <c r="E1038">
        <v>29</v>
      </c>
      <c r="F1038">
        <v>30</v>
      </c>
      <c r="G1038">
        <v>44</v>
      </c>
      <c r="H1038">
        <v>21</v>
      </c>
    </row>
    <row r="1039" spans="1:8" x14ac:dyDescent="0.2">
      <c r="A1039" s="1">
        <v>41697</v>
      </c>
      <c r="B1039">
        <v>13</v>
      </c>
      <c r="C1039">
        <v>33</v>
      </c>
      <c r="D1039">
        <v>37</v>
      </c>
      <c r="E1039">
        <v>40</v>
      </c>
      <c r="F1039">
        <v>41</v>
      </c>
      <c r="G1039">
        <v>44</v>
      </c>
      <c r="H1039">
        <v>10</v>
      </c>
    </row>
    <row r="1040" spans="1:8" x14ac:dyDescent="0.2">
      <c r="A1040" s="1">
        <v>41694</v>
      </c>
      <c r="B1040">
        <v>5</v>
      </c>
      <c r="C1040">
        <v>13</v>
      </c>
      <c r="D1040">
        <v>15</v>
      </c>
      <c r="E1040">
        <v>16</v>
      </c>
      <c r="F1040">
        <v>21</v>
      </c>
      <c r="G1040">
        <v>28</v>
      </c>
      <c r="H1040">
        <v>34</v>
      </c>
    </row>
    <row r="1041" spans="1:8" x14ac:dyDescent="0.2">
      <c r="A1041" s="1">
        <v>41690</v>
      </c>
      <c r="B1041">
        <v>14</v>
      </c>
      <c r="C1041">
        <v>15</v>
      </c>
      <c r="D1041">
        <v>20</v>
      </c>
      <c r="E1041">
        <v>23</v>
      </c>
      <c r="F1041">
        <v>33</v>
      </c>
      <c r="G1041">
        <v>44</v>
      </c>
      <c r="H1041">
        <v>34</v>
      </c>
    </row>
    <row r="1042" spans="1:8" x14ac:dyDescent="0.2">
      <c r="A1042" s="1">
        <v>41687</v>
      </c>
      <c r="B1042">
        <v>1</v>
      </c>
      <c r="C1042">
        <v>4</v>
      </c>
      <c r="D1042">
        <v>5</v>
      </c>
      <c r="E1042">
        <v>12</v>
      </c>
      <c r="F1042">
        <v>30</v>
      </c>
      <c r="G1042">
        <v>45</v>
      </c>
      <c r="H1042">
        <v>9</v>
      </c>
    </row>
    <row r="1043" spans="1:8" x14ac:dyDescent="0.2">
      <c r="A1043" s="1">
        <v>41684</v>
      </c>
      <c r="B1043">
        <v>4</v>
      </c>
      <c r="C1043">
        <v>6</v>
      </c>
      <c r="D1043">
        <v>12</v>
      </c>
      <c r="E1043">
        <v>20</v>
      </c>
      <c r="F1043">
        <v>29</v>
      </c>
      <c r="G1043">
        <v>35</v>
      </c>
      <c r="H1043">
        <v>31</v>
      </c>
    </row>
    <row r="1044" spans="1:8" x14ac:dyDescent="0.2">
      <c r="A1044" s="1">
        <v>41680</v>
      </c>
      <c r="B1044">
        <v>4</v>
      </c>
      <c r="C1044">
        <v>10</v>
      </c>
      <c r="D1044">
        <v>15</v>
      </c>
      <c r="E1044">
        <v>17</v>
      </c>
      <c r="F1044">
        <v>22</v>
      </c>
      <c r="G1044">
        <v>31</v>
      </c>
      <c r="H1044">
        <v>11</v>
      </c>
    </row>
    <row r="1045" spans="1:8" x14ac:dyDescent="0.2">
      <c r="A1045" s="1">
        <v>41676</v>
      </c>
      <c r="B1045">
        <v>5</v>
      </c>
      <c r="C1045">
        <v>14</v>
      </c>
      <c r="D1045">
        <v>22</v>
      </c>
      <c r="E1045">
        <v>27</v>
      </c>
      <c r="F1045">
        <v>40</v>
      </c>
      <c r="G1045">
        <v>43</v>
      </c>
      <c r="H1045">
        <v>4</v>
      </c>
    </row>
    <row r="1046" spans="1:8" x14ac:dyDescent="0.2">
      <c r="A1046" s="1">
        <v>41673</v>
      </c>
      <c r="B1046">
        <v>6</v>
      </c>
      <c r="C1046">
        <v>14</v>
      </c>
      <c r="D1046">
        <v>22</v>
      </c>
      <c r="E1046">
        <v>31</v>
      </c>
      <c r="F1046">
        <v>36</v>
      </c>
      <c r="G1046">
        <v>44</v>
      </c>
      <c r="H1046">
        <v>32</v>
      </c>
    </row>
    <row r="1047" spans="1:8" x14ac:dyDescent="0.2">
      <c r="A1047" s="1">
        <v>41669</v>
      </c>
      <c r="B1047">
        <v>5</v>
      </c>
      <c r="C1047">
        <v>12</v>
      </c>
      <c r="D1047">
        <v>20</v>
      </c>
      <c r="E1047">
        <v>32</v>
      </c>
      <c r="F1047">
        <v>37</v>
      </c>
      <c r="G1047">
        <v>38</v>
      </c>
      <c r="H1047">
        <v>26</v>
      </c>
    </row>
    <row r="1048" spans="1:8" x14ac:dyDescent="0.2">
      <c r="A1048" s="1">
        <v>41666</v>
      </c>
      <c r="B1048">
        <v>6</v>
      </c>
      <c r="C1048">
        <v>24</v>
      </c>
      <c r="D1048">
        <v>27</v>
      </c>
      <c r="E1048">
        <v>29</v>
      </c>
      <c r="F1048">
        <v>40</v>
      </c>
      <c r="G1048">
        <v>43</v>
      </c>
      <c r="H1048">
        <v>4</v>
      </c>
    </row>
    <row r="1049" spans="1:8" x14ac:dyDescent="0.2">
      <c r="A1049" s="1">
        <v>41663</v>
      </c>
      <c r="B1049">
        <v>2</v>
      </c>
      <c r="C1049">
        <v>8</v>
      </c>
      <c r="D1049">
        <v>11</v>
      </c>
      <c r="E1049">
        <v>16</v>
      </c>
      <c r="F1049">
        <v>36</v>
      </c>
      <c r="G1049">
        <v>43</v>
      </c>
      <c r="H1049">
        <v>19</v>
      </c>
    </row>
    <row r="1050" spans="1:8" x14ac:dyDescent="0.2">
      <c r="A1050" s="1">
        <v>41659</v>
      </c>
      <c r="B1050">
        <v>1</v>
      </c>
      <c r="C1050">
        <v>12</v>
      </c>
      <c r="D1050">
        <v>27</v>
      </c>
      <c r="E1050">
        <v>32</v>
      </c>
      <c r="F1050">
        <v>33</v>
      </c>
      <c r="G1050">
        <v>36</v>
      </c>
      <c r="H1050">
        <v>26</v>
      </c>
    </row>
    <row r="1051" spans="1:8" x14ac:dyDescent="0.2">
      <c r="A1051" s="1">
        <v>41655</v>
      </c>
      <c r="B1051">
        <v>26</v>
      </c>
      <c r="C1051">
        <v>27</v>
      </c>
      <c r="D1051">
        <v>34</v>
      </c>
      <c r="E1051">
        <v>39</v>
      </c>
      <c r="F1051">
        <v>41</v>
      </c>
      <c r="G1051">
        <v>45</v>
      </c>
      <c r="H1051">
        <v>28</v>
      </c>
    </row>
    <row r="1052" spans="1:8" x14ac:dyDescent="0.2">
      <c r="A1052" s="1">
        <v>41652</v>
      </c>
      <c r="B1052">
        <v>3</v>
      </c>
      <c r="C1052">
        <v>25</v>
      </c>
      <c r="D1052">
        <v>33</v>
      </c>
      <c r="E1052">
        <v>36</v>
      </c>
      <c r="F1052">
        <v>42</v>
      </c>
      <c r="G1052">
        <v>45</v>
      </c>
      <c r="H1052">
        <v>10</v>
      </c>
    </row>
    <row r="1053" spans="1:8" x14ac:dyDescent="0.2">
      <c r="A1053" s="1">
        <v>41648</v>
      </c>
      <c r="B1053">
        <v>4</v>
      </c>
      <c r="C1053">
        <v>7</v>
      </c>
      <c r="D1053">
        <v>8</v>
      </c>
      <c r="E1053">
        <v>33</v>
      </c>
      <c r="F1053">
        <v>36</v>
      </c>
      <c r="G1053">
        <v>43</v>
      </c>
      <c r="H1053">
        <v>9</v>
      </c>
    </row>
    <row r="1054" spans="1:8" x14ac:dyDescent="0.2">
      <c r="A1054" s="1">
        <v>41645</v>
      </c>
      <c r="B1054">
        <v>10</v>
      </c>
      <c r="C1054">
        <v>17</v>
      </c>
      <c r="D1054">
        <v>27</v>
      </c>
      <c r="E1054">
        <v>28</v>
      </c>
      <c r="F1054">
        <v>42</v>
      </c>
      <c r="G1054">
        <v>45</v>
      </c>
      <c r="H1054">
        <v>23</v>
      </c>
    </row>
    <row r="1055" spans="1:8" x14ac:dyDescent="0.2">
      <c r="A1055" s="1">
        <v>41642</v>
      </c>
      <c r="B1055">
        <v>10</v>
      </c>
      <c r="C1055">
        <v>11</v>
      </c>
      <c r="D1055">
        <v>31</v>
      </c>
      <c r="E1055">
        <v>37</v>
      </c>
      <c r="F1055">
        <v>39</v>
      </c>
      <c r="G1055">
        <v>43</v>
      </c>
      <c r="H1055">
        <v>22</v>
      </c>
    </row>
    <row r="1056" spans="1:8" x14ac:dyDescent="0.2">
      <c r="A1056" s="1">
        <v>41638</v>
      </c>
      <c r="B1056">
        <v>14</v>
      </c>
      <c r="C1056">
        <v>17</v>
      </c>
      <c r="D1056">
        <v>27</v>
      </c>
      <c r="E1056">
        <v>28</v>
      </c>
      <c r="F1056">
        <v>32</v>
      </c>
      <c r="G1056">
        <v>36</v>
      </c>
      <c r="H1056">
        <v>41</v>
      </c>
    </row>
    <row r="1057" spans="1:8" x14ac:dyDescent="0.2">
      <c r="A1057" s="1">
        <v>41634</v>
      </c>
      <c r="B1057">
        <v>2</v>
      </c>
      <c r="C1057">
        <v>18</v>
      </c>
      <c r="D1057">
        <v>20</v>
      </c>
      <c r="E1057">
        <v>38</v>
      </c>
      <c r="F1057">
        <v>43</v>
      </c>
      <c r="G1057">
        <v>44</v>
      </c>
      <c r="H1057">
        <v>28</v>
      </c>
    </row>
    <row r="1058" spans="1:8" x14ac:dyDescent="0.2">
      <c r="A1058" s="1">
        <v>41631</v>
      </c>
      <c r="B1058">
        <v>3</v>
      </c>
      <c r="C1058">
        <v>5</v>
      </c>
      <c r="D1058">
        <v>9</v>
      </c>
      <c r="E1058">
        <v>23</v>
      </c>
      <c r="F1058">
        <v>25</v>
      </c>
      <c r="G1058">
        <v>31</v>
      </c>
      <c r="H1058">
        <v>14</v>
      </c>
    </row>
    <row r="1059" spans="1:8" x14ac:dyDescent="0.2">
      <c r="A1059" s="1">
        <v>41627</v>
      </c>
      <c r="B1059">
        <v>8</v>
      </c>
      <c r="C1059">
        <v>11</v>
      </c>
      <c r="D1059">
        <v>15</v>
      </c>
      <c r="E1059">
        <v>27</v>
      </c>
      <c r="F1059">
        <v>32</v>
      </c>
      <c r="G1059">
        <v>43</v>
      </c>
      <c r="H1059">
        <v>6</v>
      </c>
    </row>
    <row r="1060" spans="1:8" x14ac:dyDescent="0.2">
      <c r="A1060" s="1">
        <v>41624</v>
      </c>
      <c r="B1060">
        <v>14</v>
      </c>
      <c r="C1060">
        <v>17</v>
      </c>
      <c r="D1060">
        <v>25</v>
      </c>
      <c r="E1060">
        <v>27</v>
      </c>
      <c r="F1060">
        <v>28</v>
      </c>
      <c r="G1060">
        <v>40</v>
      </c>
      <c r="H1060">
        <v>9</v>
      </c>
    </row>
    <row r="1061" spans="1:8" x14ac:dyDescent="0.2">
      <c r="A1061" s="1">
        <v>41620</v>
      </c>
      <c r="B1061">
        <v>3</v>
      </c>
      <c r="C1061">
        <v>5</v>
      </c>
      <c r="D1061">
        <v>23</v>
      </c>
      <c r="E1061">
        <v>31</v>
      </c>
      <c r="F1061">
        <v>34</v>
      </c>
      <c r="G1061">
        <v>39</v>
      </c>
      <c r="H1061">
        <v>17</v>
      </c>
    </row>
    <row r="1062" spans="1:8" x14ac:dyDescent="0.2">
      <c r="A1062" s="1">
        <v>41617</v>
      </c>
      <c r="B1062">
        <v>2</v>
      </c>
      <c r="C1062">
        <v>8</v>
      </c>
      <c r="D1062">
        <v>15</v>
      </c>
      <c r="E1062">
        <v>22</v>
      </c>
      <c r="F1062">
        <v>23</v>
      </c>
      <c r="G1062">
        <v>25</v>
      </c>
      <c r="H1062">
        <v>16</v>
      </c>
    </row>
    <row r="1063" spans="1:8" x14ac:dyDescent="0.2">
      <c r="A1063" s="1">
        <v>41613</v>
      </c>
      <c r="B1063">
        <v>15</v>
      </c>
      <c r="C1063">
        <v>20</v>
      </c>
      <c r="D1063">
        <v>23</v>
      </c>
      <c r="E1063">
        <v>40</v>
      </c>
      <c r="F1063">
        <v>42</v>
      </c>
      <c r="G1063">
        <v>44</v>
      </c>
      <c r="H1063">
        <v>22</v>
      </c>
    </row>
    <row r="1064" spans="1:8" x14ac:dyDescent="0.2">
      <c r="A1064" s="1">
        <v>41610</v>
      </c>
      <c r="B1064">
        <v>1</v>
      </c>
      <c r="C1064">
        <v>13</v>
      </c>
      <c r="D1064">
        <v>16</v>
      </c>
      <c r="E1064">
        <v>22</v>
      </c>
      <c r="F1064">
        <v>27</v>
      </c>
      <c r="G1064">
        <v>33</v>
      </c>
      <c r="H1064">
        <v>38</v>
      </c>
    </row>
    <row r="1065" spans="1:8" x14ac:dyDescent="0.2">
      <c r="A1065" s="1">
        <v>41606</v>
      </c>
      <c r="B1065">
        <v>15</v>
      </c>
      <c r="C1065">
        <v>20</v>
      </c>
      <c r="D1065">
        <v>21</v>
      </c>
      <c r="E1065">
        <v>28</v>
      </c>
      <c r="F1065">
        <v>35</v>
      </c>
      <c r="G1065">
        <v>43</v>
      </c>
      <c r="H1065">
        <v>39</v>
      </c>
    </row>
    <row r="1066" spans="1:8" x14ac:dyDescent="0.2">
      <c r="A1066" s="1">
        <v>41603</v>
      </c>
      <c r="B1066">
        <v>4</v>
      </c>
      <c r="C1066">
        <v>17</v>
      </c>
      <c r="D1066">
        <v>24</v>
      </c>
      <c r="E1066">
        <v>28</v>
      </c>
      <c r="F1066">
        <v>41</v>
      </c>
      <c r="G1066">
        <v>42</v>
      </c>
      <c r="H1066">
        <v>43</v>
      </c>
    </row>
    <row r="1067" spans="1:8" x14ac:dyDescent="0.2">
      <c r="A1067" s="1">
        <v>41599</v>
      </c>
      <c r="B1067">
        <v>8</v>
      </c>
      <c r="C1067">
        <v>9</v>
      </c>
      <c r="D1067">
        <v>12</v>
      </c>
      <c r="E1067">
        <v>18</v>
      </c>
      <c r="F1067">
        <v>22</v>
      </c>
      <c r="G1067">
        <v>32</v>
      </c>
      <c r="H1067">
        <v>6</v>
      </c>
    </row>
    <row r="1068" spans="1:8" x14ac:dyDescent="0.2">
      <c r="A1068" s="1">
        <v>41596</v>
      </c>
      <c r="B1068">
        <v>5</v>
      </c>
      <c r="C1068">
        <v>7</v>
      </c>
      <c r="D1068">
        <v>13</v>
      </c>
      <c r="E1068">
        <v>19</v>
      </c>
      <c r="F1068">
        <v>22</v>
      </c>
      <c r="G1068">
        <v>45</v>
      </c>
      <c r="H1068">
        <v>18</v>
      </c>
    </row>
    <row r="1069" spans="1:8" x14ac:dyDescent="0.2">
      <c r="A1069" s="1">
        <v>41592</v>
      </c>
      <c r="B1069">
        <v>1</v>
      </c>
      <c r="C1069">
        <v>5</v>
      </c>
      <c r="D1069">
        <v>9</v>
      </c>
      <c r="E1069">
        <v>28</v>
      </c>
      <c r="F1069">
        <v>30</v>
      </c>
      <c r="G1069">
        <v>39</v>
      </c>
      <c r="H1069">
        <v>16</v>
      </c>
    </row>
    <row r="1070" spans="1:8" x14ac:dyDescent="0.2">
      <c r="A1070" s="1">
        <v>41589</v>
      </c>
      <c r="B1070">
        <v>8</v>
      </c>
      <c r="C1070">
        <v>13</v>
      </c>
      <c r="D1070">
        <v>16</v>
      </c>
      <c r="E1070">
        <v>26</v>
      </c>
      <c r="F1070">
        <v>29</v>
      </c>
      <c r="G1070">
        <v>42</v>
      </c>
      <c r="H1070">
        <v>40</v>
      </c>
    </row>
    <row r="1071" spans="1:8" x14ac:dyDescent="0.2">
      <c r="A1071" s="1">
        <v>41585</v>
      </c>
      <c r="B1071">
        <v>4</v>
      </c>
      <c r="C1071">
        <v>16</v>
      </c>
      <c r="D1071">
        <v>18</v>
      </c>
      <c r="E1071">
        <v>24</v>
      </c>
      <c r="F1071">
        <v>28</v>
      </c>
      <c r="G1071">
        <v>29</v>
      </c>
      <c r="H1071">
        <v>45</v>
      </c>
    </row>
    <row r="1072" spans="1:8" x14ac:dyDescent="0.2">
      <c r="A1072" s="1">
        <v>41582</v>
      </c>
      <c r="B1072">
        <v>15</v>
      </c>
      <c r="C1072">
        <v>21</v>
      </c>
      <c r="D1072">
        <v>24</v>
      </c>
      <c r="E1072">
        <v>34</v>
      </c>
      <c r="F1072">
        <v>37</v>
      </c>
      <c r="G1072">
        <v>44</v>
      </c>
      <c r="H1072">
        <v>29</v>
      </c>
    </row>
    <row r="1073" spans="1:8" x14ac:dyDescent="0.2">
      <c r="A1073" s="1">
        <v>41578</v>
      </c>
      <c r="B1073">
        <v>2</v>
      </c>
      <c r="C1073">
        <v>6</v>
      </c>
      <c r="D1073">
        <v>10</v>
      </c>
      <c r="E1073">
        <v>27</v>
      </c>
      <c r="F1073">
        <v>31</v>
      </c>
      <c r="G1073">
        <v>34</v>
      </c>
      <c r="H1073">
        <v>20</v>
      </c>
    </row>
    <row r="1074" spans="1:8" x14ac:dyDescent="0.2">
      <c r="A1074" s="1">
        <v>41575</v>
      </c>
      <c r="B1074">
        <v>1</v>
      </c>
      <c r="C1074">
        <v>11</v>
      </c>
      <c r="D1074">
        <v>22</v>
      </c>
      <c r="E1074">
        <v>28</v>
      </c>
      <c r="F1074">
        <v>31</v>
      </c>
      <c r="G1074">
        <v>32</v>
      </c>
      <c r="H1074">
        <v>8</v>
      </c>
    </row>
    <row r="1075" spans="1:8" x14ac:dyDescent="0.2">
      <c r="A1075" s="1">
        <v>41571</v>
      </c>
      <c r="B1075">
        <v>1</v>
      </c>
      <c r="C1075">
        <v>16</v>
      </c>
      <c r="D1075">
        <v>31</v>
      </c>
      <c r="E1075">
        <v>38</v>
      </c>
      <c r="F1075">
        <v>39</v>
      </c>
      <c r="G1075">
        <v>45</v>
      </c>
      <c r="H1075">
        <v>8</v>
      </c>
    </row>
    <row r="1076" spans="1:8" x14ac:dyDescent="0.2">
      <c r="A1076" s="1">
        <v>41568</v>
      </c>
      <c r="B1076">
        <v>2</v>
      </c>
      <c r="C1076">
        <v>7</v>
      </c>
      <c r="D1076">
        <v>11</v>
      </c>
      <c r="E1076">
        <v>19</v>
      </c>
      <c r="F1076">
        <v>42</v>
      </c>
      <c r="G1076">
        <v>45</v>
      </c>
      <c r="H1076">
        <v>3</v>
      </c>
    </row>
    <row r="1077" spans="1:8" x14ac:dyDescent="0.2">
      <c r="A1077" s="1">
        <v>41564</v>
      </c>
      <c r="B1077">
        <v>12</v>
      </c>
      <c r="C1077">
        <v>16</v>
      </c>
      <c r="D1077">
        <v>28</v>
      </c>
      <c r="E1077">
        <v>30</v>
      </c>
      <c r="F1077">
        <v>31</v>
      </c>
      <c r="G1077">
        <v>42</v>
      </c>
      <c r="H1077">
        <v>36</v>
      </c>
    </row>
    <row r="1078" spans="1:8" x14ac:dyDescent="0.2">
      <c r="A1078" s="1">
        <v>41561</v>
      </c>
      <c r="B1078">
        <v>1</v>
      </c>
      <c r="C1078">
        <v>6</v>
      </c>
      <c r="D1078">
        <v>11</v>
      </c>
      <c r="E1078">
        <v>23</v>
      </c>
      <c r="F1078">
        <v>37</v>
      </c>
      <c r="G1078">
        <v>44</v>
      </c>
      <c r="H1078">
        <v>19</v>
      </c>
    </row>
    <row r="1079" spans="1:8" x14ac:dyDescent="0.2">
      <c r="A1079" s="1">
        <v>41557</v>
      </c>
      <c r="B1079">
        <v>12</v>
      </c>
      <c r="C1079">
        <v>13</v>
      </c>
      <c r="D1079">
        <v>17</v>
      </c>
      <c r="E1079">
        <v>25</v>
      </c>
      <c r="F1079">
        <v>34</v>
      </c>
      <c r="G1079">
        <v>44</v>
      </c>
      <c r="H1079">
        <v>29</v>
      </c>
    </row>
    <row r="1080" spans="1:8" x14ac:dyDescent="0.2">
      <c r="A1080" s="1">
        <v>41554</v>
      </c>
      <c r="B1080">
        <v>8</v>
      </c>
      <c r="C1080">
        <v>22</v>
      </c>
      <c r="D1080">
        <v>32</v>
      </c>
      <c r="E1080">
        <v>36</v>
      </c>
      <c r="F1080">
        <v>39</v>
      </c>
      <c r="G1080">
        <v>44</v>
      </c>
      <c r="H1080">
        <v>4</v>
      </c>
    </row>
    <row r="1081" spans="1:8" x14ac:dyDescent="0.2">
      <c r="A1081" s="1">
        <v>41550</v>
      </c>
      <c r="B1081">
        <v>2</v>
      </c>
      <c r="C1081">
        <v>19</v>
      </c>
      <c r="D1081">
        <v>21</v>
      </c>
      <c r="E1081">
        <v>24</v>
      </c>
      <c r="F1081">
        <v>25</v>
      </c>
      <c r="G1081">
        <v>41</v>
      </c>
      <c r="H1081">
        <v>29</v>
      </c>
    </row>
    <row r="1082" spans="1:8" x14ac:dyDescent="0.2">
      <c r="A1082" s="1">
        <v>41547</v>
      </c>
      <c r="B1082">
        <v>4</v>
      </c>
      <c r="C1082">
        <v>12</v>
      </c>
      <c r="D1082">
        <v>25</v>
      </c>
      <c r="E1082">
        <v>26</v>
      </c>
      <c r="F1082">
        <v>36</v>
      </c>
      <c r="G1082">
        <v>40</v>
      </c>
      <c r="H1082">
        <v>39</v>
      </c>
    </row>
    <row r="1083" spans="1:8" x14ac:dyDescent="0.2">
      <c r="A1083" s="1">
        <v>41543</v>
      </c>
      <c r="B1083">
        <v>6</v>
      </c>
      <c r="C1083">
        <v>14</v>
      </c>
      <c r="D1083">
        <v>15</v>
      </c>
      <c r="E1083">
        <v>27</v>
      </c>
      <c r="F1083">
        <v>31</v>
      </c>
      <c r="G1083">
        <v>32</v>
      </c>
      <c r="H1083">
        <v>16</v>
      </c>
    </row>
    <row r="1084" spans="1:8" x14ac:dyDescent="0.2">
      <c r="A1084" s="1">
        <v>41540</v>
      </c>
      <c r="B1084">
        <v>1</v>
      </c>
      <c r="C1084">
        <v>16</v>
      </c>
      <c r="D1084">
        <v>18</v>
      </c>
      <c r="E1084">
        <v>21</v>
      </c>
      <c r="F1084">
        <v>36</v>
      </c>
      <c r="G1084">
        <v>41</v>
      </c>
      <c r="H1084">
        <v>7</v>
      </c>
    </row>
    <row r="1085" spans="1:8" x14ac:dyDescent="0.2">
      <c r="A1085" s="1">
        <v>41536</v>
      </c>
      <c r="B1085">
        <v>3</v>
      </c>
      <c r="C1085">
        <v>7</v>
      </c>
      <c r="D1085">
        <v>9</v>
      </c>
      <c r="E1085">
        <v>14</v>
      </c>
      <c r="F1085">
        <v>19</v>
      </c>
      <c r="G1085">
        <v>35</v>
      </c>
      <c r="H1085">
        <v>20</v>
      </c>
    </row>
    <row r="1086" spans="1:8" x14ac:dyDescent="0.2">
      <c r="A1086" s="1">
        <v>41533</v>
      </c>
      <c r="B1086">
        <v>1</v>
      </c>
      <c r="C1086">
        <v>11</v>
      </c>
      <c r="D1086">
        <v>13</v>
      </c>
      <c r="E1086">
        <v>15</v>
      </c>
      <c r="F1086">
        <v>21</v>
      </c>
      <c r="G1086">
        <v>22</v>
      </c>
      <c r="H1086">
        <v>33</v>
      </c>
    </row>
    <row r="1087" spans="1:8" x14ac:dyDescent="0.2">
      <c r="A1087" s="1">
        <v>41529</v>
      </c>
      <c r="B1087">
        <v>2</v>
      </c>
      <c r="C1087">
        <v>5</v>
      </c>
      <c r="D1087">
        <v>9</v>
      </c>
      <c r="E1087">
        <v>17</v>
      </c>
      <c r="F1087">
        <v>31</v>
      </c>
      <c r="G1087">
        <v>44</v>
      </c>
      <c r="H1087">
        <v>4</v>
      </c>
    </row>
    <row r="1088" spans="1:8" x14ac:dyDescent="0.2">
      <c r="A1088" s="1">
        <v>41526</v>
      </c>
      <c r="B1088">
        <v>6</v>
      </c>
      <c r="C1088">
        <v>8</v>
      </c>
      <c r="D1088">
        <v>23</v>
      </c>
      <c r="E1088">
        <v>28</v>
      </c>
      <c r="F1088">
        <v>41</v>
      </c>
      <c r="G1088">
        <v>44</v>
      </c>
      <c r="H1088">
        <v>24</v>
      </c>
    </row>
    <row r="1089" spans="1:8" x14ac:dyDescent="0.2">
      <c r="A1089" s="1">
        <v>41522</v>
      </c>
      <c r="B1089">
        <v>8</v>
      </c>
      <c r="C1089">
        <v>19</v>
      </c>
      <c r="D1089">
        <v>20</v>
      </c>
      <c r="E1089">
        <v>27</v>
      </c>
      <c r="F1089">
        <v>41</v>
      </c>
      <c r="G1089">
        <v>45</v>
      </c>
      <c r="H1089">
        <v>21</v>
      </c>
    </row>
    <row r="1090" spans="1:8" x14ac:dyDescent="0.2">
      <c r="A1090" s="1">
        <v>41519</v>
      </c>
      <c r="B1090">
        <v>7</v>
      </c>
      <c r="C1090">
        <v>21</v>
      </c>
      <c r="D1090">
        <v>29</v>
      </c>
      <c r="E1090">
        <v>31</v>
      </c>
      <c r="F1090">
        <v>41</v>
      </c>
      <c r="G1090">
        <v>45</v>
      </c>
      <c r="H1090">
        <v>9</v>
      </c>
    </row>
    <row r="1091" spans="1:8" x14ac:dyDescent="0.2">
      <c r="A1091" s="1">
        <v>41515</v>
      </c>
      <c r="B1091">
        <v>7</v>
      </c>
      <c r="C1091">
        <v>8</v>
      </c>
      <c r="D1091">
        <v>13</v>
      </c>
      <c r="E1091">
        <v>14</v>
      </c>
      <c r="F1091">
        <v>28</v>
      </c>
      <c r="G1091">
        <v>44</v>
      </c>
      <c r="H1091">
        <v>16</v>
      </c>
    </row>
    <row r="1092" spans="1:8" x14ac:dyDescent="0.2">
      <c r="A1092" s="1">
        <v>41512</v>
      </c>
      <c r="B1092">
        <v>4</v>
      </c>
      <c r="C1092">
        <v>7</v>
      </c>
      <c r="D1092">
        <v>11</v>
      </c>
      <c r="E1092">
        <v>22</v>
      </c>
      <c r="F1092">
        <v>29</v>
      </c>
      <c r="G1092">
        <v>38</v>
      </c>
      <c r="H1092">
        <v>6</v>
      </c>
    </row>
    <row r="1093" spans="1:8" x14ac:dyDescent="0.2">
      <c r="A1093" s="1">
        <v>41508</v>
      </c>
      <c r="B1093">
        <v>15</v>
      </c>
      <c r="C1093">
        <v>16</v>
      </c>
      <c r="D1093">
        <v>30</v>
      </c>
      <c r="E1093">
        <v>34</v>
      </c>
      <c r="F1093">
        <v>38</v>
      </c>
      <c r="G1093">
        <v>42</v>
      </c>
      <c r="H1093">
        <v>1</v>
      </c>
    </row>
    <row r="1094" spans="1:8" x14ac:dyDescent="0.2">
      <c r="A1094" s="1">
        <v>41505</v>
      </c>
      <c r="B1094">
        <v>14</v>
      </c>
      <c r="C1094">
        <v>19</v>
      </c>
      <c r="D1094">
        <v>26</v>
      </c>
      <c r="E1094">
        <v>30</v>
      </c>
      <c r="F1094">
        <v>41</v>
      </c>
      <c r="G1094">
        <v>45</v>
      </c>
      <c r="H1094">
        <v>38</v>
      </c>
    </row>
    <row r="1095" spans="1:8" x14ac:dyDescent="0.2">
      <c r="A1095" s="1">
        <v>41501</v>
      </c>
      <c r="B1095">
        <v>6</v>
      </c>
      <c r="C1095">
        <v>7</v>
      </c>
      <c r="D1095">
        <v>19</v>
      </c>
      <c r="E1095">
        <v>26</v>
      </c>
      <c r="F1095">
        <v>31</v>
      </c>
      <c r="G1095">
        <v>33</v>
      </c>
      <c r="H1095">
        <v>35</v>
      </c>
    </row>
    <row r="1096" spans="1:8" x14ac:dyDescent="0.2">
      <c r="A1096" s="1">
        <v>41498</v>
      </c>
      <c r="B1096">
        <v>10</v>
      </c>
      <c r="C1096">
        <v>12</v>
      </c>
      <c r="D1096">
        <v>14</v>
      </c>
      <c r="E1096">
        <v>28</v>
      </c>
      <c r="F1096">
        <v>36</v>
      </c>
      <c r="G1096">
        <v>40</v>
      </c>
      <c r="H1096">
        <v>34</v>
      </c>
    </row>
    <row r="1097" spans="1:8" x14ac:dyDescent="0.2">
      <c r="A1097" s="1">
        <v>41494</v>
      </c>
      <c r="B1097">
        <v>18</v>
      </c>
      <c r="C1097">
        <v>25</v>
      </c>
      <c r="D1097">
        <v>27</v>
      </c>
      <c r="E1097">
        <v>33</v>
      </c>
      <c r="F1097">
        <v>42</v>
      </c>
      <c r="G1097">
        <v>43</v>
      </c>
      <c r="H1097">
        <v>23</v>
      </c>
    </row>
    <row r="1098" spans="1:8" x14ac:dyDescent="0.2">
      <c r="A1098" s="1">
        <v>41491</v>
      </c>
      <c r="B1098">
        <v>1</v>
      </c>
      <c r="C1098">
        <v>11</v>
      </c>
      <c r="D1098">
        <v>24</v>
      </c>
      <c r="E1098">
        <v>31</v>
      </c>
      <c r="F1098">
        <v>32</v>
      </c>
      <c r="G1098">
        <v>36</v>
      </c>
      <c r="H1098">
        <v>38</v>
      </c>
    </row>
    <row r="1099" spans="1:8" x14ac:dyDescent="0.2">
      <c r="A1099" s="1">
        <v>41488</v>
      </c>
      <c r="B1099">
        <v>9</v>
      </c>
      <c r="C1099">
        <v>26</v>
      </c>
      <c r="D1099">
        <v>33</v>
      </c>
      <c r="E1099">
        <v>36</v>
      </c>
      <c r="F1099">
        <v>38</v>
      </c>
      <c r="G1099">
        <v>42</v>
      </c>
      <c r="H1099">
        <v>1</v>
      </c>
    </row>
    <row r="1100" spans="1:8" x14ac:dyDescent="0.2">
      <c r="A1100" s="1">
        <v>41484</v>
      </c>
      <c r="B1100">
        <v>9</v>
      </c>
      <c r="C1100">
        <v>12</v>
      </c>
      <c r="D1100">
        <v>22</v>
      </c>
      <c r="E1100">
        <v>23</v>
      </c>
      <c r="F1100">
        <v>31</v>
      </c>
      <c r="G1100">
        <v>37</v>
      </c>
      <c r="H1100">
        <v>17</v>
      </c>
    </row>
    <row r="1101" spans="1:8" x14ac:dyDescent="0.2">
      <c r="A1101" s="1">
        <v>41480</v>
      </c>
      <c r="B1101">
        <v>1</v>
      </c>
      <c r="C1101">
        <v>11</v>
      </c>
      <c r="D1101">
        <v>25</v>
      </c>
      <c r="E1101">
        <v>39</v>
      </c>
      <c r="F1101">
        <v>41</v>
      </c>
      <c r="G1101">
        <v>44</v>
      </c>
      <c r="H1101">
        <v>2</v>
      </c>
    </row>
    <row r="1102" spans="1:8" x14ac:dyDescent="0.2">
      <c r="A1102" s="1">
        <v>41477</v>
      </c>
      <c r="B1102">
        <v>15</v>
      </c>
      <c r="C1102">
        <v>19</v>
      </c>
      <c r="D1102">
        <v>23</v>
      </c>
      <c r="E1102">
        <v>31</v>
      </c>
      <c r="F1102">
        <v>40</v>
      </c>
      <c r="G1102">
        <v>45</v>
      </c>
      <c r="H1102">
        <v>34</v>
      </c>
    </row>
    <row r="1103" spans="1:8" x14ac:dyDescent="0.2">
      <c r="A1103" s="1">
        <v>41473</v>
      </c>
      <c r="B1103">
        <v>6</v>
      </c>
      <c r="C1103">
        <v>25</v>
      </c>
      <c r="D1103">
        <v>28</v>
      </c>
      <c r="E1103">
        <v>43</v>
      </c>
      <c r="F1103">
        <v>44</v>
      </c>
      <c r="G1103">
        <v>45</v>
      </c>
      <c r="H1103">
        <v>42</v>
      </c>
    </row>
    <row r="1104" spans="1:8" x14ac:dyDescent="0.2">
      <c r="A1104" s="1">
        <v>41470</v>
      </c>
      <c r="B1104">
        <v>10</v>
      </c>
      <c r="C1104">
        <v>11</v>
      </c>
      <c r="D1104">
        <v>19</v>
      </c>
      <c r="E1104">
        <v>22</v>
      </c>
      <c r="F1104">
        <v>34</v>
      </c>
      <c r="G1104">
        <v>45</v>
      </c>
      <c r="H1104">
        <v>31</v>
      </c>
    </row>
    <row r="1105" spans="1:8" x14ac:dyDescent="0.2">
      <c r="A1105" s="1">
        <v>41466</v>
      </c>
      <c r="B1105">
        <v>9</v>
      </c>
      <c r="C1105">
        <v>10</v>
      </c>
      <c r="D1105">
        <v>14</v>
      </c>
      <c r="E1105">
        <v>15</v>
      </c>
      <c r="F1105">
        <v>18</v>
      </c>
      <c r="G1105">
        <v>42</v>
      </c>
      <c r="H1105">
        <v>31</v>
      </c>
    </row>
    <row r="1106" spans="1:8" x14ac:dyDescent="0.2">
      <c r="A1106" s="1">
        <v>41463</v>
      </c>
      <c r="B1106">
        <v>9</v>
      </c>
      <c r="C1106">
        <v>14</v>
      </c>
      <c r="D1106">
        <v>18</v>
      </c>
      <c r="E1106">
        <v>20</v>
      </c>
      <c r="F1106">
        <v>32</v>
      </c>
      <c r="G1106">
        <v>34</v>
      </c>
      <c r="H1106">
        <v>45</v>
      </c>
    </row>
    <row r="1107" spans="1:8" x14ac:dyDescent="0.2">
      <c r="A1107" s="1">
        <v>41459</v>
      </c>
      <c r="B1107">
        <v>7</v>
      </c>
      <c r="C1107">
        <v>23</v>
      </c>
      <c r="D1107">
        <v>27</v>
      </c>
      <c r="E1107">
        <v>35</v>
      </c>
      <c r="F1107">
        <v>41</v>
      </c>
      <c r="G1107">
        <v>43</v>
      </c>
      <c r="H1107">
        <v>29</v>
      </c>
    </row>
    <row r="1108" spans="1:8" x14ac:dyDescent="0.2">
      <c r="A1108" s="1">
        <v>41456</v>
      </c>
      <c r="B1108">
        <v>2</v>
      </c>
      <c r="C1108">
        <v>12</v>
      </c>
      <c r="D1108">
        <v>15</v>
      </c>
      <c r="E1108">
        <v>28</v>
      </c>
      <c r="F1108">
        <v>35</v>
      </c>
      <c r="G1108">
        <v>38</v>
      </c>
      <c r="H1108">
        <v>41</v>
      </c>
    </row>
    <row r="1109" spans="1:8" x14ac:dyDescent="0.2">
      <c r="A1109" s="1">
        <v>41452</v>
      </c>
      <c r="B1109">
        <v>12</v>
      </c>
      <c r="C1109">
        <v>19</v>
      </c>
      <c r="D1109">
        <v>21</v>
      </c>
      <c r="E1109">
        <v>22</v>
      </c>
      <c r="F1109">
        <v>26</v>
      </c>
      <c r="G1109">
        <v>29</v>
      </c>
      <c r="H1109">
        <v>39</v>
      </c>
    </row>
    <row r="1110" spans="1:8" x14ac:dyDescent="0.2">
      <c r="A1110" s="1">
        <v>41449</v>
      </c>
      <c r="B1110">
        <v>15</v>
      </c>
      <c r="C1110">
        <v>17</v>
      </c>
      <c r="D1110">
        <v>32</v>
      </c>
      <c r="E1110">
        <v>36</v>
      </c>
      <c r="F1110">
        <v>37</v>
      </c>
      <c r="G1110">
        <v>42</v>
      </c>
      <c r="H1110">
        <v>44</v>
      </c>
    </row>
    <row r="1111" spans="1:8" x14ac:dyDescent="0.2">
      <c r="A1111" s="1">
        <v>41445</v>
      </c>
      <c r="B1111">
        <v>4</v>
      </c>
      <c r="C1111">
        <v>5</v>
      </c>
      <c r="D1111">
        <v>11</v>
      </c>
      <c r="E1111">
        <v>26</v>
      </c>
      <c r="F1111">
        <v>37</v>
      </c>
      <c r="G1111">
        <v>45</v>
      </c>
      <c r="H1111">
        <v>39</v>
      </c>
    </row>
    <row r="1112" spans="1:8" x14ac:dyDescent="0.2">
      <c r="A1112" s="1">
        <v>41442</v>
      </c>
      <c r="B1112">
        <v>5</v>
      </c>
      <c r="C1112">
        <v>16</v>
      </c>
      <c r="D1112">
        <v>30</v>
      </c>
      <c r="E1112">
        <v>32</v>
      </c>
      <c r="F1112">
        <v>33</v>
      </c>
      <c r="G1112">
        <v>41</v>
      </c>
      <c r="H1112">
        <v>14</v>
      </c>
    </row>
    <row r="1113" spans="1:8" x14ac:dyDescent="0.2">
      <c r="A1113" s="1">
        <v>41438</v>
      </c>
      <c r="B1113">
        <v>7</v>
      </c>
      <c r="C1113">
        <v>11</v>
      </c>
      <c r="D1113">
        <v>25</v>
      </c>
      <c r="E1113">
        <v>36</v>
      </c>
      <c r="F1113">
        <v>37</v>
      </c>
      <c r="G1113">
        <v>38</v>
      </c>
      <c r="H1113">
        <v>35</v>
      </c>
    </row>
    <row r="1114" spans="1:8" x14ac:dyDescent="0.2">
      <c r="A1114" s="1">
        <v>41435</v>
      </c>
      <c r="B1114">
        <v>11</v>
      </c>
      <c r="C1114">
        <v>13</v>
      </c>
      <c r="D1114">
        <v>23</v>
      </c>
      <c r="E1114">
        <v>29</v>
      </c>
      <c r="F1114">
        <v>31</v>
      </c>
      <c r="G1114">
        <v>38</v>
      </c>
      <c r="H1114">
        <v>21</v>
      </c>
    </row>
    <row r="1115" spans="1:8" x14ac:dyDescent="0.2">
      <c r="A1115" s="1">
        <v>41431</v>
      </c>
      <c r="B1115">
        <v>11</v>
      </c>
      <c r="C1115">
        <v>14</v>
      </c>
      <c r="D1115">
        <v>16</v>
      </c>
      <c r="E1115">
        <v>30</v>
      </c>
      <c r="F1115">
        <v>32</v>
      </c>
      <c r="G1115">
        <v>34</v>
      </c>
      <c r="H1115">
        <v>19</v>
      </c>
    </row>
    <row r="1116" spans="1:8" x14ac:dyDescent="0.2">
      <c r="A1116" s="1">
        <v>41428</v>
      </c>
      <c r="B1116">
        <v>2</v>
      </c>
      <c r="C1116">
        <v>16</v>
      </c>
      <c r="D1116">
        <v>18</v>
      </c>
      <c r="E1116">
        <v>19</v>
      </c>
      <c r="F1116">
        <v>25</v>
      </c>
      <c r="G1116">
        <v>38</v>
      </c>
      <c r="H1116">
        <v>23</v>
      </c>
    </row>
    <row r="1117" spans="1:8" x14ac:dyDescent="0.2">
      <c r="A1117" s="1">
        <v>41424</v>
      </c>
      <c r="B1117">
        <v>4</v>
      </c>
      <c r="C1117">
        <v>9</v>
      </c>
      <c r="D1117">
        <v>26</v>
      </c>
      <c r="E1117">
        <v>27</v>
      </c>
      <c r="F1117">
        <v>37</v>
      </c>
      <c r="G1117">
        <v>44</v>
      </c>
      <c r="H1117">
        <v>12</v>
      </c>
    </row>
    <row r="1118" spans="1:8" x14ac:dyDescent="0.2">
      <c r="A1118" s="1">
        <v>41421</v>
      </c>
      <c r="B1118">
        <v>9</v>
      </c>
      <c r="C1118">
        <v>13</v>
      </c>
      <c r="D1118">
        <v>18</v>
      </c>
      <c r="E1118">
        <v>19</v>
      </c>
      <c r="F1118">
        <v>23</v>
      </c>
      <c r="G1118">
        <v>28</v>
      </c>
      <c r="H1118">
        <v>1</v>
      </c>
    </row>
    <row r="1119" spans="1:8" x14ac:dyDescent="0.2">
      <c r="A1119" s="1">
        <v>41417</v>
      </c>
      <c r="B1119">
        <v>7</v>
      </c>
      <c r="C1119">
        <v>13</v>
      </c>
      <c r="D1119">
        <v>17</v>
      </c>
      <c r="E1119">
        <v>19</v>
      </c>
      <c r="F1119">
        <v>20</v>
      </c>
      <c r="G1119">
        <v>26</v>
      </c>
      <c r="H1119">
        <v>5</v>
      </c>
    </row>
    <row r="1120" spans="1:8" x14ac:dyDescent="0.2">
      <c r="A1120" s="1">
        <v>41414</v>
      </c>
      <c r="B1120">
        <v>1</v>
      </c>
      <c r="C1120">
        <v>7</v>
      </c>
      <c r="D1120">
        <v>10</v>
      </c>
      <c r="E1120">
        <v>23</v>
      </c>
      <c r="F1120">
        <v>25</v>
      </c>
      <c r="G1120">
        <v>35</v>
      </c>
      <c r="H1120">
        <v>18</v>
      </c>
    </row>
    <row r="1121" spans="1:8" x14ac:dyDescent="0.2">
      <c r="A1121" s="1">
        <v>41411</v>
      </c>
      <c r="B1121">
        <v>8</v>
      </c>
      <c r="C1121">
        <v>14</v>
      </c>
      <c r="D1121">
        <v>22</v>
      </c>
      <c r="E1121">
        <v>30</v>
      </c>
      <c r="F1121">
        <v>34</v>
      </c>
      <c r="G1121">
        <v>41</v>
      </c>
      <c r="H1121">
        <v>1</v>
      </c>
    </row>
    <row r="1122" spans="1:8" x14ac:dyDescent="0.2">
      <c r="A1122" s="1">
        <v>41407</v>
      </c>
      <c r="B1122">
        <v>1</v>
      </c>
      <c r="C1122">
        <v>5</v>
      </c>
      <c r="D1122">
        <v>7</v>
      </c>
      <c r="E1122">
        <v>24</v>
      </c>
      <c r="F1122">
        <v>27</v>
      </c>
      <c r="G1122">
        <v>45</v>
      </c>
      <c r="H1122">
        <v>3</v>
      </c>
    </row>
    <row r="1123" spans="1:8" x14ac:dyDescent="0.2">
      <c r="A1123" s="1">
        <v>41403</v>
      </c>
      <c r="B1123">
        <v>2</v>
      </c>
      <c r="C1123">
        <v>12</v>
      </c>
      <c r="D1123">
        <v>22</v>
      </c>
      <c r="E1123">
        <v>24</v>
      </c>
      <c r="F1123">
        <v>31</v>
      </c>
      <c r="G1123">
        <v>34</v>
      </c>
      <c r="H1123">
        <v>10</v>
      </c>
    </row>
    <row r="1124" spans="1:8" x14ac:dyDescent="0.2">
      <c r="A1124" s="1">
        <v>41400</v>
      </c>
      <c r="B1124">
        <v>4</v>
      </c>
      <c r="C1124">
        <v>9</v>
      </c>
      <c r="D1124">
        <v>14</v>
      </c>
      <c r="E1124">
        <v>19</v>
      </c>
      <c r="F1124">
        <v>22</v>
      </c>
      <c r="G1124">
        <v>34</v>
      </c>
      <c r="H1124">
        <v>35</v>
      </c>
    </row>
    <row r="1125" spans="1:8" x14ac:dyDescent="0.2">
      <c r="A1125" s="1">
        <v>41396</v>
      </c>
      <c r="B1125">
        <v>1</v>
      </c>
      <c r="C1125">
        <v>12</v>
      </c>
      <c r="D1125">
        <v>20</v>
      </c>
      <c r="E1125">
        <v>22</v>
      </c>
      <c r="F1125">
        <v>31</v>
      </c>
      <c r="G1125">
        <v>43</v>
      </c>
      <c r="H1125">
        <v>27</v>
      </c>
    </row>
    <row r="1126" spans="1:8" x14ac:dyDescent="0.2">
      <c r="A1126" s="1">
        <v>41393</v>
      </c>
      <c r="B1126">
        <v>4</v>
      </c>
      <c r="C1126">
        <v>15</v>
      </c>
      <c r="D1126">
        <v>17</v>
      </c>
      <c r="E1126">
        <v>19</v>
      </c>
      <c r="F1126">
        <v>22</v>
      </c>
      <c r="G1126">
        <v>23</v>
      </c>
      <c r="H1126">
        <v>26</v>
      </c>
    </row>
    <row r="1127" spans="1:8" x14ac:dyDescent="0.2">
      <c r="A1127" s="1">
        <v>41389</v>
      </c>
      <c r="B1127">
        <v>3</v>
      </c>
      <c r="C1127">
        <v>12</v>
      </c>
      <c r="D1127">
        <v>17</v>
      </c>
      <c r="E1127">
        <v>27</v>
      </c>
      <c r="F1127">
        <v>28</v>
      </c>
      <c r="G1127">
        <v>43</v>
      </c>
      <c r="H1127">
        <v>45</v>
      </c>
    </row>
    <row r="1128" spans="1:8" x14ac:dyDescent="0.2">
      <c r="A1128" s="1">
        <v>41386</v>
      </c>
      <c r="B1128">
        <v>6</v>
      </c>
      <c r="C1128">
        <v>11</v>
      </c>
      <c r="D1128">
        <v>22</v>
      </c>
      <c r="E1128">
        <v>31</v>
      </c>
      <c r="F1128">
        <v>36</v>
      </c>
      <c r="G1128">
        <v>41</v>
      </c>
      <c r="H1128">
        <v>5</v>
      </c>
    </row>
    <row r="1129" spans="1:8" x14ac:dyDescent="0.2">
      <c r="A1129" s="1">
        <v>41382</v>
      </c>
      <c r="B1129">
        <v>1</v>
      </c>
      <c r="C1129">
        <v>11</v>
      </c>
      <c r="D1129">
        <v>13</v>
      </c>
      <c r="E1129">
        <v>24</v>
      </c>
      <c r="F1129">
        <v>26</v>
      </c>
      <c r="G1129">
        <v>44</v>
      </c>
      <c r="H1129">
        <v>5</v>
      </c>
    </row>
    <row r="1130" spans="1:8" x14ac:dyDescent="0.2">
      <c r="A1130" s="1">
        <v>41379</v>
      </c>
      <c r="B1130">
        <v>10</v>
      </c>
      <c r="C1130">
        <v>26</v>
      </c>
      <c r="D1130">
        <v>27</v>
      </c>
      <c r="E1130">
        <v>32</v>
      </c>
      <c r="F1130">
        <v>38</v>
      </c>
      <c r="G1130">
        <v>42</v>
      </c>
      <c r="H1130">
        <v>11</v>
      </c>
    </row>
    <row r="1131" spans="1:8" x14ac:dyDescent="0.2">
      <c r="A1131" s="1">
        <v>41375</v>
      </c>
      <c r="B1131">
        <v>2</v>
      </c>
      <c r="C1131">
        <v>3</v>
      </c>
      <c r="D1131">
        <v>15</v>
      </c>
      <c r="E1131">
        <v>27</v>
      </c>
      <c r="F1131">
        <v>41</v>
      </c>
      <c r="G1131">
        <v>45</v>
      </c>
      <c r="H1131">
        <v>17</v>
      </c>
    </row>
    <row r="1132" spans="1:8" x14ac:dyDescent="0.2">
      <c r="A1132" s="1">
        <v>41372</v>
      </c>
      <c r="B1132">
        <v>12</v>
      </c>
      <c r="C1132">
        <v>20</v>
      </c>
      <c r="D1132">
        <v>28</v>
      </c>
      <c r="E1132">
        <v>31</v>
      </c>
      <c r="F1132">
        <v>32</v>
      </c>
      <c r="G1132">
        <v>40</v>
      </c>
      <c r="H1132">
        <v>27</v>
      </c>
    </row>
    <row r="1133" spans="1:8" x14ac:dyDescent="0.2">
      <c r="A1133" s="1">
        <v>41368</v>
      </c>
      <c r="B1133">
        <v>16</v>
      </c>
      <c r="C1133">
        <v>19</v>
      </c>
      <c r="D1133">
        <v>22</v>
      </c>
      <c r="E1133">
        <v>27</v>
      </c>
      <c r="F1133">
        <v>36</v>
      </c>
      <c r="G1133">
        <v>39</v>
      </c>
      <c r="H1133">
        <v>12</v>
      </c>
    </row>
    <row r="1134" spans="1:8" x14ac:dyDescent="0.2">
      <c r="A1134" s="1">
        <v>41365</v>
      </c>
      <c r="B1134">
        <v>8</v>
      </c>
      <c r="C1134">
        <v>10</v>
      </c>
      <c r="D1134">
        <v>15</v>
      </c>
      <c r="E1134">
        <v>21</v>
      </c>
      <c r="F1134">
        <v>28</v>
      </c>
      <c r="G1134">
        <v>40</v>
      </c>
      <c r="H1134">
        <v>26</v>
      </c>
    </row>
    <row r="1135" spans="1:8" x14ac:dyDescent="0.2">
      <c r="A1135" s="1">
        <v>41361</v>
      </c>
      <c r="B1135">
        <v>24</v>
      </c>
      <c r="C1135">
        <v>30</v>
      </c>
      <c r="D1135">
        <v>33</v>
      </c>
      <c r="E1135">
        <v>35</v>
      </c>
      <c r="F1135">
        <v>37</v>
      </c>
      <c r="G1135">
        <v>38</v>
      </c>
      <c r="H1135">
        <v>17</v>
      </c>
    </row>
    <row r="1136" spans="1:8" x14ac:dyDescent="0.2">
      <c r="A1136" s="1">
        <v>41358</v>
      </c>
      <c r="B1136">
        <v>22</v>
      </c>
      <c r="C1136">
        <v>23</v>
      </c>
      <c r="D1136">
        <v>38</v>
      </c>
      <c r="E1136">
        <v>41</v>
      </c>
      <c r="F1136">
        <v>44</v>
      </c>
      <c r="G1136">
        <v>45</v>
      </c>
      <c r="H1136">
        <v>39</v>
      </c>
    </row>
    <row r="1137" spans="1:8" x14ac:dyDescent="0.2">
      <c r="A1137" s="1">
        <v>41354</v>
      </c>
      <c r="B1137">
        <v>3</v>
      </c>
      <c r="C1137">
        <v>31</v>
      </c>
      <c r="D1137">
        <v>35</v>
      </c>
      <c r="E1137">
        <v>36</v>
      </c>
      <c r="F1137">
        <v>38</v>
      </c>
      <c r="G1137">
        <v>45</v>
      </c>
      <c r="H1137">
        <v>29</v>
      </c>
    </row>
    <row r="1138" spans="1:8" x14ac:dyDescent="0.2">
      <c r="A1138" s="1">
        <v>41351</v>
      </c>
      <c r="B1138">
        <v>2</v>
      </c>
      <c r="C1138">
        <v>6</v>
      </c>
      <c r="D1138">
        <v>8</v>
      </c>
      <c r="E1138">
        <v>23</v>
      </c>
      <c r="F1138">
        <v>27</v>
      </c>
      <c r="G1138">
        <v>39</v>
      </c>
      <c r="H1138">
        <v>4</v>
      </c>
    </row>
    <row r="1139" spans="1:8" x14ac:dyDescent="0.2">
      <c r="A1139" s="1">
        <v>41347</v>
      </c>
      <c r="B1139">
        <v>8</v>
      </c>
      <c r="C1139">
        <v>9</v>
      </c>
      <c r="D1139">
        <v>13</v>
      </c>
      <c r="E1139">
        <v>16</v>
      </c>
      <c r="F1139">
        <v>22</v>
      </c>
      <c r="G1139">
        <v>43</v>
      </c>
      <c r="H1139">
        <v>24</v>
      </c>
    </row>
    <row r="1140" spans="1:8" x14ac:dyDescent="0.2">
      <c r="A1140" s="1">
        <v>41344</v>
      </c>
      <c r="B1140">
        <v>2</v>
      </c>
      <c r="C1140">
        <v>3</v>
      </c>
      <c r="D1140">
        <v>14</v>
      </c>
      <c r="E1140">
        <v>15</v>
      </c>
      <c r="F1140">
        <v>33</v>
      </c>
      <c r="G1140">
        <v>40</v>
      </c>
      <c r="H1140">
        <v>45</v>
      </c>
    </row>
    <row r="1141" spans="1:8" x14ac:dyDescent="0.2">
      <c r="A1141" s="1">
        <v>41340</v>
      </c>
      <c r="B1141">
        <v>16</v>
      </c>
      <c r="C1141">
        <v>20</v>
      </c>
      <c r="D1141">
        <v>22</v>
      </c>
      <c r="E1141">
        <v>25</v>
      </c>
      <c r="F1141">
        <v>26</v>
      </c>
      <c r="G1141">
        <v>27</v>
      </c>
      <c r="H1141">
        <v>18</v>
      </c>
    </row>
    <row r="1142" spans="1:8" x14ac:dyDescent="0.2">
      <c r="A1142" s="1">
        <v>41337</v>
      </c>
      <c r="B1142">
        <v>1</v>
      </c>
      <c r="C1142">
        <v>11</v>
      </c>
      <c r="D1142">
        <v>14</v>
      </c>
      <c r="E1142">
        <v>20</v>
      </c>
      <c r="F1142">
        <v>23</v>
      </c>
      <c r="G1142">
        <v>36</v>
      </c>
      <c r="H1142">
        <v>27</v>
      </c>
    </row>
    <row r="1143" spans="1:8" x14ac:dyDescent="0.2">
      <c r="A1143" s="1">
        <v>41333</v>
      </c>
      <c r="B1143">
        <v>1</v>
      </c>
      <c r="C1143">
        <v>10</v>
      </c>
      <c r="D1143">
        <v>15</v>
      </c>
      <c r="E1143">
        <v>34</v>
      </c>
      <c r="F1143">
        <v>38</v>
      </c>
      <c r="G1143">
        <v>41</v>
      </c>
      <c r="H1143">
        <v>25</v>
      </c>
    </row>
    <row r="1144" spans="1:8" x14ac:dyDescent="0.2">
      <c r="A1144" s="1">
        <v>41330</v>
      </c>
      <c r="B1144">
        <v>5</v>
      </c>
      <c r="C1144">
        <v>6</v>
      </c>
      <c r="D1144">
        <v>10</v>
      </c>
      <c r="E1144">
        <v>21</v>
      </c>
      <c r="F1144">
        <v>26</v>
      </c>
      <c r="G1144">
        <v>37</v>
      </c>
      <c r="H1144">
        <v>1</v>
      </c>
    </row>
    <row r="1145" spans="1:8" x14ac:dyDescent="0.2">
      <c r="A1145" s="1">
        <v>41327</v>
      </c>
      <c r="B1145">
        <v>16</v>
      </c>
      <c r="C1145">
        <v>18</v>
      </c>
      <c r="D1145">
        <v>23</v>
      </c>
      <c r="E1145">
        <v>25</v>
      </c>
      <c r="F1145">
        <v>29</v>
      </c>
      <c r="G1145">
        <v>34</v>
      </c>
      <c r="H1145">
        <v>26</v>
      </c>
    </row>
    <row r="1146" spans="1:8" x14ac:dyDescent="0.2">
      <c r="A1146" s="1">
        <v>41323</v>
      </c>
      <c r="B1146">
        <v>4</v>
      </c>
      <c r="C1146">
        <v>8</v>
      </c>
      <c r="D1146">
        <v>14</v>
      </c>
      <c r="E1146">
        <v>24</v>
      </c>
      <c r="F1146">
        <v>31</v>
      </c>
      <c r="G1146">
        <v>35</v>
      </c>
      <c r="H1146">
        <v>45</v>
      </c>
    </row>
    <row r="1147" spans="1:8" x14ac:dyDescent="0.2">
      <c r="A1147" s="1">
        <v>41319</v>
      </c>
      <c r="B1147">
        <v>6</v>
      </c>
      <c r="C1147">
        <v>25</v>
      </c>
      <c r="D1147">
        <v>28</v>
      </c>
      <c r="E1147">
        <v>31</v>
      </c>
      <c r="F1147">
        <v>38</v>
      </c>
      <c r="G1147">
        <v>44</v>
      </c>
      <c r="H1147">
        <v>23</v>
      </c>
    </row>
    <row r="1148" spans="1:8" x14ac:dyDescent="0.2">
      <c r="A1148" s="1">
        <v>41316</v>
      </c>
      <c r="B1148">
        <v>1</v>
      </c>
      <c r="C1148">
        <v>4</v>
      </c>
      <c r="D1148">
        <v>15</v>
      </c>
      <c r="E1148">
        <v>18</v>
      </c>
      <c r="F1148">
        <v>33</v>
      </c>
      <c r="G1148">
        <v>42</v>
      </c>
      <c r="H1148">
        <v>38</v>
      </c>
    </row>
    <row r="1149" spans="1:8" x14ac:dyDescent="0.2">
      <c r="A1149" s="1">
        <v>41313</v>
      </c>
      <c r="B1149">
        <v>8</v>
      </c>
      <c r="C1149">
        <v>10</v>
      </c>
      <c r="D1149">
        <v>11</v>
      </c>
      <c r="E1149">
        <v>25</v>
      </c>
      <c r="F1149">
        <v>27</v>
      </c>
      <c r="G1149">
        <v>43</v>
      </c>
      <c r="H1149">
        <v>2</v>
      </c>
    </row>
    <row r="1150" spans="1:8" x14ac:dyDescent="0.2">
      <c r="A1150" s="1">
        <v>41309</v>
      </c>
      <c r="B1150">
        <v>7</v>
      </c>
      <c r="C1150">
        <v>9</v>
      </c>
      <c r="D1150">
        <v>16</v>
      </c>
      <c r="E1150">
        <v>24</v>
      </c>
      <c r="F1150">
        <v>39</v>
      </c>
      <c r="G1150">
        <v>40</v>
      </c>
      <c r="H1150">
        <v>18</v>
      </c>
    </row>
    <row r="1151" spans="1:8" x14ac:dyDescent="0.2">
      <c r="A1151" s="1">
        <v>41305</v>
      </c>
      <c r="B1151">
        <v>3</v>
      </c>
      <c r="C1151">
        <v>5</v>
      </c>
      <c r="D1151">
        <v>36</v>
      </c>
      <c r="E1151">
        <v>37</v>
      </c>
      <c r="F1151">
        <v>42</v>
      </c>
      <c r="G1151">
        <v>43</v>
      </c>
      <c r="H1151">
        <v>17</v>
      </c>
    </row>
    <row r="1152" spans="1:8" x14ac:dyDescent="0.2">
      <c r="A1152" s="1">
        <v>41302</v>
      </c>
      <c r="B1152">
        <v>22</v>
      </c>
      <c r="C1152">
        <v>23</v>
      </c>
      <c r="D1152">
        <v>27</v>
      </c>
      <c r="E1152">
        <v>29</v>
      </c>
      <c r="F1152">
        <v>32</v>
      </c>
      <c r="G1152">
        <v>38</v>
      </c>
      <c r="H1152">
        <v>16</v>
      </c>
    </row>
    <row r="1153" spans="1:8" x14ac:dyDescent="0.2">
      <c r="A1153" s="1">
        <v>41298</v>
      </c>
      <c r="B1153">
        <v>11</v>
      </c>
      <c r="C1153">
        <v>20</v>
      </c>
      <c r="D1153">
        <v>24</v>
      </c>
      <c r="E1153">
        <v>38</v>
      </c>
      <c r="F1153">
        <v>39</v>
      </c>
      <c r="G1153">
        <v>44</v>
      </c>
      <c r="H1153">
        <v>17</v>
      </c>
    </row>
    <row r="1154" spans="1:8" x14ac:dyDescent="0.2">
      <c r="A1154" s="1">
        <v>41295</v>
      </c>
      <c r="B1154">
        <v>3</v>
      </c>
      <c r="C1154">
        <v>4</v>
      </c>
      <c r="D1154">
        <v>6</v>
      </c>
      <c r="E1154">
        <v>29</v>
      </c>
      <c r="F1154">
        <v>33</v>
      </c>
      <c r="G1154">
        <v>35</v>
      </c>
      <c r="H1154">
        <v>41</v>
      </c>
    </row>
    <row r="1155" spans="1:8" x14ac:dyDescent="0.2">
      <c r="A1155" s="1">
        <v>41291</v>
      </c>
      <c r="B1155">
        <v>7</v>
      </c>
      <c r="C1155">
        <v>10</v>
      </c>
      <c r="D1155">
        <v>24</v>
      </c>
      <c r="E1155">
        <v>26</v>
      </c>
      <c r="F1155">
        <v>27</v>
      </c>
      <c r="G1155">
        <v>31</v>
      </c>
      <c r="H1155">
        <v>20</v>
      </c>
    </row>
    <row r="1156" spans="1:8" x14ac:dyDescent="0.2">
      <c r="A1156" s="1">
        <v>41288</v>
      </c>
      <c r="B1156">
        <v>13</v>
      </c>
      <c r="C1156">
        <v>23</v>
      </c>
      <c r="D1156">
        <v>30</v>
      </c>
      <c r="E1156">
        <v>36</v>
      </c>
      <c r="F1156">
        <v>40</v>
      </c>
      <c r="G1156">
        <v>43</v>
      </c>
      <c r="H1156">
        <v>41</v>
      </c>
    </row>
    <row r="1157" spans="1:8" x14ac:dyDescent="0.2">
      <c r="A1157" s="1">
        <v>41284</v>
      </c>
      <c r="B1157">
        <v>4</v>
      </c>
      <c r="C1157">
        <v>21</v>
      </c>
      <c r="D1157">
        <v>26</v>
      </c>
      <c r="E1157">
        <v>38</v>
      </c>
      <c r="F1157">
        <v>41</v>
      </c>
      <c r="G1157">
        <v>43</v>
      </c>
      <c r="H1157">
        <v>16</v>
      </c>
    </row>
    <row r="1158" spans="1:8" x14ac:dyDescent="0.2">
      <c r="A1158" s="1">
        <v>41281</v>
      </c>
      <c r="B1158">
        <v>11</v>
      </c>
      <c r="C1158">
        <v>12</v>
      </c>
      <c r="D1158">
        <v>16</v>
      </c>
      <c r="E1158">
        <v>22</v>
      </c>
      <c r="F1158">
        <v>26</v>
      </c>
      <c r="G1158">
        <v>38</v>
      </c>
      <c r="H1158">
        <v>31</v>
      </c>
    </row>
    <row r="1159" spans="1:8" x14ac:dyDescent="0.2">
      <c r="A1159" s="1">
        <v>41277</v>
      </c>
      <c r="B1159">
        <v>19</v>
      </c>
      <c r="C1159">
        <v>30</v>
      </c>
      <c r="D1159">
        <v>35</v>
      </c>
      <c r="E1159">
        <v>42</v>
      </c>
      <c r="F1159">
        <v>44</v>
      </c>
      <c r="G1159">
        <v>45</v>
      </c>
      <c r="H1159">
        <v>1</v>
      </c>
    </row>
    <row r="1160" spans="1:8" x14ac:dyDescent="0.2">
      <c r="A1160" s="1">
        <v>41274</v>
      </c>
      <c r="B1160">
        <v>4</v>
      </c>
      <c r="C1160">
        <v>14</v>
      </c>
      <c r="D1160">
        <v>25</v>
      </c>
      <c r="E1160">
        <v>34</v>
      </c>
      <c r="F1160">
        <v>42</v>
      </c>
      <c r="G1160">
        <v>45</v>
      </c>
      <c r="H1160">
        <v>17</v>
      </c>
    </row>
    <row r="1161" spans="1:8" x14ac:dyDescent="0.2">
      <c r="A1161" s="1">
        <v>41270</v>
      </c>
      <c r="B1161">
        <v>17</v>
      </c>
      <c r="C1161">
        <v>20</v>
      </c>
      <c r="D1161">
        <v>22</v>
      </c>
      <c r="E1161">
        <v>30</v>
      </c>
      <c r="F1161">
        <v>36</v>
      </c>
      <c r="G1161">
        <v>37</v>
      </c>
      <c r="H1161">
        <v>16</v>
      </c>
    </row>
    <row r="1162" spans="1:8" x14ac:dyDescent="0.2">
      <c r="A1162" s="1">
        <v>41267</v>
      </c>
      <c r="B1162">
        <v>7</v>
      </c>
      <c r="C1162">
        <v>10</v>
      </c>
      <c r="D1162">
        <v>11</v>
      </c>
      <c r="E1162">
        <v>12</v>
      </c>
      <c r="F1162">
        <v>16</v>
      </c>
      <c r="G1162">
        <v>42</v>
      </c>
      <c r="H1162">
        <v>8</v>
      </c>
    </row>
    <row r="1163" spans="1:8" x14ac:dyDescent="0.2">
      <c r="A1163" s="1">
        <v>41263</v>
      </c>
      <c r="B1163">
        <v>18</v>
      </c>
      <c r="C1163">
        <v>22</v>
      </c>
      <c r="D1163">
        <v>25</v>
      </c>
      <c r="E1163">
        <v>26</v>
      </c>
      <c r="F1163">
        <v>42</v>
      </c>
      <c r="G1163">
        <v>44</v>
      </c>
      <c r="H1163">
        <v>5</v>
      </c>
    </row>
    <row r="1164" spans="1:8" x14ac:dyDescent="0.2">
      <c r="A1164" s="1">
        <v>41260</v>
      </c>
      <c r="B1164">
        <v>9</v>
      </c>
      <c r="C1164">
        <v>20</v>
      </c>
      <c r="D1164">
        <v>24</v>
      </c>
      <c r="E1164">
        <v>26</v>
      </c>
      <c r="F1164">
        <v>40</v>
      </c>
      <c r="G1164">
        <v>44</v>
      </c>
      <c r="H1164">
        <v>22</v>
      </c>
    </row>
    <row r="1165" spans="1:8" x14ac:dyDescent="0.2">
      <c r="A1165" s="1">
        <v>41256</v>
      </c>
      <c r="B1165">
        <v>8</v>
      </c>
      <c r="C1165">
        <v>12</v>
      </c>
      <c r="D1165">
        <v>15</v>
      </c>
      <c r="E1165">
        <v>26</v>
      </c>
      <c r="F1165">
        <v>33</v>
      </c>
      <c r="G1165">
        <v>42</v>
      </c>
      <c r="H1165">
        <v>2</v>
      </c>
    </row>
    <row r="1166" spans="1:8" x14ac:dyDescent="0.2">
      <c r="A1166" s="1">
        <v>41253</v>
      </c>
      <c r="B1166">
        <v>15</v>
      </c>
      <c r="C1166">
        <v>19</v>
      </c>
      <c r="D1166">
        <v>24</v>
      </c>
      <c r="E1166">
        <v>29</v>
      </c>
      <c r="F1166">
        <v>31</v>
      </c>
      <c r="G1166">
        <v>42</v>
      </c>
      <c r="H1166">
        <v>3</v>
      </c>
    </row>
    <row r="1167" spans="1:8" x14ac:dyDescent="0.2">
      <c r="A1167" s="1">
        <v>41249</v>
      </c>
      <c r="B1167">
        <v>3</v>
      </c>
      <c r="C1167">
        <v>6</v>
      </c>
      <c r="D1167">
        <v>10</v>
      </c>
      <c r="E1167">
        <v>13</v>
      </c>
      <c r="F1167">
        <v>23</v>
      </c>
      <c r="G1167">
        <v>27</v>
      </c>
      <c r="H1167">
        <v>17</v>
      </c>
    </row>
    <row r="1168" spans="1:8" x14ac:dyDescent="0.2">
      <c r="A1168" s="1">
        <v>41246</v>
      </c>
      <c r="B1168">
        <v>14</v>
      </c>
      <c r="C1168">
        <v>22</v>
      </c>
      <c r="D1168">
        <v>27</v>
      </c>
      <c r="E1168">
        <v>31</v>
      </c>
      <c r="F1168">
        <v>33</v>
      </c>
      <c r="G1168">
        <v>34</v>
      </c>
      <c r="H1168">
        <v>1</v>
      </c>
    </row>
    <row r="1169" spans="1:8" x14ac:dyDescent="0.2">
      <c r="A1169" s="1">
        <v>41242</v>
      </c>
      <c r="B1169">
        <v>4</v>
      </c>
      <c r="C1169">
        <v>7</v>
      </c>
      <c r="D1169">
        <v>9</v>
      </c>
      <c r="E1169">
        <v>10</v>
      </c>
      <c r="F1169">
        <v>23</v>
      </c>
      <c r="G1169">
        <v>30</v>
      </c>
      <c r="H1169">
        <v>42</v>
      </c>
    </row>
    <row r="1170" spans="1:8" x14ac:dyDescent="0.2">
      <c r="A1170" s="1">
        <v>41239</v>
      </c>
      <c r="B1170">
        <v>2</v>
      </c>
      <c r="C1170">
        <v>12</v>
      </c>
      <c r="D1170">
        <v>17</v>
      </c>
      <c r="E1170">
        <v>29</v>
      </c>
      <c r="F1170">
        <v>34</v>
      </c>
      <c r="G1170">
        <v>39</v>
      </c>
      <c r="H1170">
        <v>23</v>
      </c>
    </row>
    <row r="1171" spans="1:8" x14ac:dyDescent="0.2">
      <c r="A1171" s="1">
        <v>41235</v>
      </c>
      <c r="B1171">
        <v>1</v>
      </c>
      <c r="C1171">
        <v>3</v>
      </c>
      <c r="D1171">
        <v>13</v>
      </c>
      <c r="E1171">
        <v>22</v>
      </c>
      <c r="F1171">
        <v>24</v>
      </c>
      <c r="G1171">
        <v>42</v>
      </c>
      <c r="H1171">
        <v>41</v>
      </c>
    </row>
    <row r="1172" spans="1:8" x14ac:dyDescent="0.2">
      <c r="A1172" s="1">
        <v>41232</v>
      </c>
      <c r="B1172">
        <v>11</v>
      </c>
      <c r="C1172">
        <v>15</v>
      </c>
      <c r="D1172">
        <v>22</v>
      </c>
      <c r="E1172">
        <v>30</v>
      </c>
      <c r="F1172">
        <v>32</v>
      </c>
      <c r="G1172">
        <v>33</v>
      </c>
      <c r="H1172">
        <v>19</v>
      </c>
    </row>
    <row r="1173" spans="1:8" x14ac:dyDescent="0.2">
      <c r="A1173" s="1">
        <v>41228</v>
      </c>
      <c r="B1173">
        <v>13</v>
      </c>
      <c r="C1173">
        <v>20</v>
      </c>
      <c r="D1173">
        <v>21</v>
      </c>
      <c r="E1173">
        <v>30</v>
      </c>
      <c r="F1173">
        <v>40</v>
      </c>
      <c r="G1173">
        <v>42</v>
      </c>
      <c r="H1173">
        <v>29</v>
      </c>
    </row>
    <row r="1174" spans="1:8" x14ac:dyDescent="0.2">
      <c r="A1174" s="1">
        <v>41225</v>
      </c>
      <c r="B1174">
        <v>9</v>
      </c>
      <c r="C1174">
        <v>14</v>
      </c>
      <c r="D1174">
        <v>18</v>
      </c>
      <c r="E1174">
        <v>19</v>
      </c>
      <c r="F1174">
        <v>25</v>
      </c>
      <c r="G1174">
        <v>33</v>
      </c>
      <c r="H1174">
        <v>32</v>
      </c>
    </row>
    <row r="1175" spans="1:8" x14ac:dyDescent="0.2">
      <c r="A1175" s="1">
        <v>41221</v>
      </c>
      <c r="B1175">
        <v>3</v>
      </c>
      <c r="C1175">
        <v>7</v>
      </c>
      <c r="D1175">
        <v>19</v>
      </c>
      <c r="E1175">
        <v>38</v>
      </c>
      <c r="F1175">
        <v>41</v>
      </c>
      <c r="G1175">
        <v>43</v>
      </c>
      <c r="H1175">
        <v>12</v>
      </c>
    </row>
    <row r="1176" spans="1:8" x14ac:dyDescent="0.2">
      <c r="A1176" s="1">
        <v>41218</v>
      </c>
      <c r="B1176">
        <v>4</v>
      </c>
      <c r="C1176">
        <v>9</v>
      </c>
      <c r="D1176">
        <v>13</v>
      </c>
      <c r="E1176">
        <v>17</v>
      </c>
      <c r="F1176">
        <v>20</v>
      </c>
      <c r="G1176">
        <v>29</v>
      </c>
      <c r="H1176">
        <v>40</v>
      </c>
    </row>
    <row r="1177" spans="1:8" x14ac:dyDescent="0.2">
      <c r="A1177" s="1">
        <v>41214</v>
      </c>
      <c r="B1177">
        <v>10</v>
      </c>
      <c r="C1177">
        <v>13</v>
      </c>
      <c r="D1177">
        <v>15</v>
      </c>
      <c r="E1177">
        <v>27</v>
      </c>
      <c r="F1177">
        <v>34</v>
      </c>
      <c r="G1177">
        <v>41</v>
      </c>
      <c r="H1177">
        <v>31</v>
      </c>
    </row>
    <row r="1178" spans="1:8" x14ac:dyDescent="0.2">
      <c r="A1178" s="1">
        <v>41211</v>
      </c>
      <c r="B1178">
        <v>14</v>
      </c>
      <c r="C1178">
        <v>15</v>
      </c>
      <c r="D1178">
        <v>21</v>
      </c>
      <c r="E1178">
        <v>24</v>
      </c>
      <c r="F1178">
        <v>25</v>
      </c>
      <c r="G1178">
        <v>36</v>
      </c>
      <c r="H1178">
        <v>42</v>
      </c>
    </row>
    <row r="1179" spans="1:8" x14ac:dyDescent="0.2">
      <c r="A1179" s="1">
        <v>41207</v>
      </c>
      <c r="B1179">
        <v>9</v>
      </c>
      <c r="C1179">
        <v>17</v>
      </c>
      <c r="D1179">
        <v>21</v>
      </c>
      <c r="E1179">
        <v>28</v>
      </c>
      <c r="F1179">
        <v>37</v>
      </c>
      <c r="G1179">
        <v>40</v>
      </c>
      <c r="H1179">
        <v>30</v>
      </c>
    </row>
    <row r="1180" spans="1:8" x14ac:dyDescent="0.2">
      <c r="A1180" s="1">
        <v>41204</v>
      </c>
      <c r="B1180">
        <v>12</v>
      </c>
      <c r="C1180">
        <v>14</v>
      </c>
      <c r="D1180">
        <v>18</v>
      </c>
      <c r="E1180">
        <v>23</v>
      </c>
      <c r="F1180">
        <v>28</v>
      </c>
      <c r="G1180">
        <v>41</v>
      </c>
      <c r="H1180">
        <v>1</v>
      </c>
    </row>
    <row r="1181" spans="1:8" x14ac:dyDescent="0.2">
      <c r="A1181" s="1">
        <v>41200</v>
      </c>
      <c r="B1181">
        <v>2</v>
      </c>
      <c r="C1181">
        <v>5</v>
      </c>
      <c r="D1181">
        <v>22</v>
      </c>
      <c r="E1181">
        <v>26</v>
      </c>
      <c r="F1181">
        <v>34</v>
      </c>
      <c r="G1181">
        <v>36</v>
      </c>
      <c r="H1181">
        <v>6</v>
      </c>
    </row>
    <row r="1182" spans="1:8" x14ac:dyDescent="0.2">
      <c r="A1182" s="1">
        <v>41197</v>
      </c>
      <c r="B1182">
        <v>1</v>
      </c>
      <c r="C1182">
        <v>17</v>
      </c>
      <c r="D1182">
        <v>31</v>
      </c>
      <c r="E1182">
        <v>37</v>
      </c>
      <c r="F1182">
        <v>38</v>
      </c>
      <c r="G1182">
        <v>45</v>
      </c>
      <c r="H1182">
        <v>26</v>
      </c>
    </row>
    <row r="1183" spans="1:8" x14ac:dyDescent="0.2">
      <c r="A1183" s="1">
        <v>41193</v>
      </c>
      <c r="B1183">
        <v>5</v>
      </c>
      <c r="C1183">
        <v>6</v>
      </c>
      <c r="D1183">
        <v>22</v>
      </c>
      <c r="E1183">
        <v>25</v>
      </c>
      <c r="F1183">
        <v>27</v>
      </c>
      <c r="G1183">
        <v>33</v>
      </c>
      <c r="H1183">
        <v>17</v>
      </c>
    </row>
    <row r="1184" spans="1:8" x14ac:dyDescent="0.2">
      <c r="A1184" s="1">
        <v>41190</v>
      </c>
      <c r="B1184">
        <v>11</v>
      </c>
      <c r="C1184">
        <v>14</v>
      </c>
      <c r="D1184">
        <v>17</v>
      </c>
      <c r="E1184">
        <v>18</v>
      </c>
      <c r="F1184">
        <v>27</v>
      </c>
      <c r="G1184">
        <v>32</v>
      </c>
      <c r="H1184">
        <v>35</v>
      </c>
    </row>
    <row r="1185" spans="1:8" x14ac:dyDescent="0.2">
      <c r="A1185" s="1">
        <v>41186</v>
      </c>
      <c r="B1185">
        <v>6</v>
      </c>
      <c r="C1185">
        <v>13</v>
      </c>
      <c r="D1185">
        <v>30</v>
      </c>
      <c r="E1185">
        <v>33</v>
      </c>
      <c r="F1185">
        <v>38</v>
      </c>
      <c r="G1185">
        <v>41</v>
      </c>
      <c r="H1185">
        <v>43</v>
      </c>
    </row>
    <row r="1186" spans="1:8" x14ac:dyDescent="0.2">
      <c r="A1186" s="1">
        <v>41183</v>
      </c>
      <c r="B1186">
        <v>3</v>
      </c>
      <c r="C1186">
        <v>7</v>
      </c>
      <c r="D1186">
        <v>8</v>
      </c>
      <c r="E1186">
        <v>16</v>
      </c>
      <c r="F1186">
        <v>21</v>
      </c>
      <c r="G1186">
        <v>24</v>
      </c>
      <c r="H1186">
        <v>26</v>
      </c>
    </row>
    <row r="1187" spans="1:8" x14ac:dyDescent="0.2">
      <c r="A1187" s="1">
        <v>41179</v>
      </c>
      <c r="B1187">
        <v>9</v>
      </c>
      <c r="C1187">
        <v>11</v>
      </c>
      <c r="D1187">
        <v>30</v>
      </c>
      <c r="E1187">
        <v>38</v>
      </c>
      <c r="F1187">
        <v>39</v>
      </c>
      <c r="G1187">
        <v>43</v>
      </c>
      <c r="H1187">
        <v>40</v>
      </c>
    </row>
    <row r="1188" spans="1:8" x14ac:dyDescent="0.2">
      <c r="A1188" s="1">
        <v>41176</v>
      </c>
      <c r="B1188">
        <v>5</v>
      </c>
      <c r="C1188">
        <v>7</v>
      </c>
      <c r="D1188">
        <v>10</v>
      </c>
      <c r="E1188">
        <v>34</v>
      </c>
      <c r="F1188">
        <v>36</v>
      </c>
      <c r="G1188">
        <v>37</v>
      </c>
      <c r="H1188">
        <v>32</v>
      </c>
    </row>
    <row r="1189" spans="1:8" x14ac:dyDescent="0.2">
      <c r="A1189" s="1">
        <v>41172</v>
      </c>
      <c r="B1189">
        <v>13</v>
      </c>
      <c r="C1189">
        <v>20</v>
      </c>
      <c r="D1189">
        <v>22</v>
      </c>
      <c r="E1189">
        <v>25</v>
      </c>
      <c r="F1189">
        <v>33</v>
      </c>
      <c r="G1189">
        <v>37</v>
      </c>
      <c r="H1189">
        <v>41</v>
      </c>
    </row>
    <row r="1190" spans="1:8" x14ac:dyDescent="0.2">
      <c r="A1190" s="1">
        <v>41169</v>
      </c>
      <c r="B1190">
        <v>8</v>
      </c>
      <c r="C1190">
        <v>21</v>
      </c>
      <c r="D1190">
        <v>32</v>
      </c>
      <c r="E1190">
        <v>35</v>
      </c>
      <c r="F1190">
        <v>39</v>
      </c>
      <c r="G1190">
        <v>43</v>
      </c>
      <c r="H1190">
        <v>18</v>
      </c>
    </row>
    <row r="1191" spans="1:8" x14ac:dyDescent="0.2">
      <c r="A1191" s="1">
        <v>41165</v>
      </c>
      <c r="B1191">
        <v>3</v>
      </c>
      <c r="C1191">
        <v>14</v>
      </c>
      <c r="D1191">
        <v>17</v>
      </c>
      <c r="E1191">
        <v>22</v>
      </c>
      <c r="F1191">
        <v>31</v>
      </c>
      <c r="G1191">
        <v>44</v>
      </c>
      <c r="H1191">
        <v>9</v>
      </c>
    </row>
    <row r="1192" spans="1:8" x14ac:dyDescent="0.2">
      <c r="A1192" s="1">
        <v>41162</v>
      </c>
      <c r="B1192">
        <v>5</v>
      </c>
      <c r="C1192">
        <v>8</v>
      </c>
      <c r="D1192">
        <v>12</v>
      </c>
      <c r="E1192">
        <v>27</v>
      </c>
      <c r="F1192">
        <v>35</v>
      </c>
      <c r="G1192">
        <v>39</v>
      </c>
      <c r="H1192">
        <v>17</v>
      </c>
    </row>
    <row r="1193" spans="1:8" x14ac:dyDescent="0.2">
      <c r="A1193" s="1">
        <v>41158</v>
      </c>
      <c r="B1193">
        <v>4</v>
      </c>
      <c r="C1193">
        <v>7</v>
      </c>
      <c r="D1193">
        <v>9</v>
      </c>
      <c r="E1193">
        <v>11</v>
      </c>
      <c r="F1193">
        <v>21</v>
      </c>
      <c r="G1193">
        <v>45</v>
      </c>
      <c r="H1193">
        <v>27</v>
      </c>
    </row>
    <row r="1194" spans="1:8" x14ac:dyDescent="0.2">
      <c r="A1194" s="1">
        <v>41155</v>
      </c>
      <c r="B1194">
        <v>6</v>
      </c>
      <c r="C1194">
        <v>23</v>
      </c>
      <c r="D1194">
        <v>31</v>
      </c>
      <c r="E1194">
        <v>35</v>
      </c>
      <c r="F1194">
        <v>37</v>
      </c>
      <c r="G1194">
        <v>39</v>
      </c>
      <c r="H1194">
        <v>8</v>
      </c>
    </row>
    <row r="1195" spans="1:8" x14ac:dyDescent="0.2">
      <c r="A1195" s="1">
        <v>41151</v>
      </c>
      <c r="B1195">
        <v>7</v>
      </c>
      <c r="C1195">
        <v>30</v>
      </c>
      <c r="D1195">
        <v>37</v>
      </c>
      <c r="E1195">
        <v>42</v>
      </c>
      <c r="F1195">
        <v>44</v>
      </c>
      <c r="G1195">
        <v>45</v>
      </c>
      <c r="H1195">
        <v>31</v>
      </c>
    </row>
    <row r="1196" spans="1:8" x14ac:dyDescent="0.2">
      <c r="A1196" s="1">
        <v>41148</v>
      </c>
      <c r="B1196">
        <v>7</v>
      </c>
      <c r="C1196">
        <v>9</v>
      </c>
      <c r="D1196">
        <v>10</v>
      </c>
      <c r="E1196">
        <v>19</v>
      </c>
      <c r="F1196">
        <v>22</v>
      </c>
      <c r="G1196">
        <v>42</v>
      </c>
      <c r="H1196">
        <v>32</v>
      </c>
    </row>
    <row r="1197" spans="1:8" x14ac:dyDescent="0.2">
      <c r="A1197" s="1">
        <v>41144</v>
      </c>
      <c r="B1197">
        <v>6</v>
      </c>
      <c r="C1197">
        <v>22</v>
      </c>
      <c r="D1197">
        <v>24</v>
      </c>
      <c r="E1197">
        <v>25</v>
      </c>
      <c r="F1197">
        <v>31</v>
      </c>
      <c r="G1197">
        <v>37</v>
      </c>
      <c r="H1197">
        <v>29</v>
      </c>
    </row>
    <row r="1198" spans="1:8" x14ac:dyDescent="0.2">
      <c r="A1198" s="1">
        <v>41141</v>
      </c>
      <c r="B1198">
        <v>10</v>
      </c>
      <c r="C1198">
        <v>20</v>
      </c>
      <c r="D1198">
        <v>26</v>
      </c>
      <c r="E1198">
        <v>28</v>
      </c>
      <c r="F1198">
        <v>41</v>
      </c>
      <c r="G1198">
        <v>44</v>
      </c>
      <c r="H1198">
        <v>15</v>
      </c>
    </row>
    <row r="1199" spans="1:8" x14ac:dyDescent="0.2">
      <c r="A1199" s="1">
        <v>41137</v>
      </c>
      <c r="B1199">
        <v>4</v>
      </c>
      <c r="C1199">
        <v>11</v>
      </c>
      <c r="D1199">
        <v>17</v>
      </c>
      <c r="E1199">
        <v>22</v>
      </c>
      <c r="F1199">
        <v>26</v>
      </c>
      <c r="G1199">
        <v>32</v>
      </c>
      <c r="H1199">
        <v>10</v>
      </c>
    </row>
    <row r="1200" spans="1:8" x14ac:dyDescent="0.2">
      <c r="A1200" s="1">
        <v>41134</v>
      </c>
      <c r="B1200">
        <v>20</v>
      </c>
      <c r="C1200">
        <v>27</v>
      </c>
      <c r="D1200">
        <v>32</v>
      </c>
      <c r="E1200">
        <v>40</v>
      </c>
      <c r="F1200">
        <v>41</v>
      </c>
      <c r="G1200">
        <v>44</v>
      </c>
      <c r="H1200">
        <v>22</v>
      </c>
    </row>
    <row r="1201" spans="1:8" x14ac:dyDescent="0.2">
      <c r="A1201" s="1">
        <v>41130</v>
      </c>
      <c r="B1201">
        <v>1</v>
      </c>
      <c r="C1201">
        <v>4</v>
      </c>
      <c r="D1201">
        <v>6</v>
      </c>
      <c r="E1201">
        <v>12</v>
      </c>
      <c r="F1201">
        <v>25</v>
      </c>
      <c r="G1201">
        <v>41</v>
      </c>
      <c r="H1201">
        <v>16</v>
      </c>
    </row>
    <row r="1202" spans="1:8" x14ac:dyDescent="0.2">
      <c r="A1202" s="1">
        <v>41127</v>
      </c>
      <c r="B1202">
        <v>10</v>
      </c>
      <c r="C1202">
        <v>15</v>
      </c>
      <c r="D1202">
        <v>22</v>
      </c>
      <c r="E1202">
        <v>28</v>
      </c>
      <c r="F1202">
        <v>30</v>
      </c>
      <c r="G1202">
        <v>40</v>
      </c>
      <c r="H1202">
        <v>25</v>
      </c>
    </row>
    <row r="1203" spans="1:8" x14ac:dyDescent="0.2">
      <c r="A1203" s="1">
        <v>41123</v>
      </c>
      <c r="B1203">
        <v>4</v>
      </c>
      <c r="C1203">
        <v>8</v>
      </c>
      <c r="D1203">
        <v>12</v>
      </c>
      <c r="E1203">
        <v>15</v>
      </c>
      <c r="F1203">
        <v>23</v>
      </c>
      <c r="G1203">
        <v>27</v>
      </c>
      <c r="H1203">
        <v>26</v>
      </c>
    </row>
    <row r="1204" spans="1:8" x14ac:dyDescent="0.2">
      <c r="A1204" s="1">
        <v>41120</v>
      </c>
      <c r="B1204">
        <v>11</v>
      </c>
      <c r="C1204">
        <v>28</v>
      </c>
      <c r="D1204">
        <v>32</v>
      </c>
      <c r="E1204">
        <v>37</v>
      </c>
      <c r="F1204">
        <v>43</v>
      </c>
      <c r="G1204">
        <v>45</v>
      </c>
      <c r="H1204">
        <v>13</v>
      </c>
    </row>
    <row r="1205" spans="1:8" x14ac:dyDescent="0.2">
      <c r="A1205" s="1">
        <v>41116</v>
      </c>
      <c r="B1205">
        <v>1</v>
      </c>
      <c r="C1205">
        <v>8</v>
      </c>
      <c r="D1205">
        <v>22</v>
      </c>
      <c r="E1205">
        <v>25</v>
      </c>
      <c r="F1205">
        <v>32</v>
      </c>
      <c r="G1205">
        <v>36</v>
      </c>
      <c r="H1205">
        <v>34</v>
      </c>
    </row>
    <row r="1206" spans="1:8" x14ac:dyDescent="0.2">
      <c r="A1206" s="1">
        <v>41113</v>
      </c>
      <c r="B1206">
        <v>1</v>
      </c>
      <c r="C1206">
        <v>4</v>
      </c>
      <c r="D1206">
        <v>21</v>
      </c>
      <c r="E1206">
        <v>23</v>
      </c>
      <c r="F1206">
        <v>39</v>
      </c>
      <c r="G1206">
        <v>44</v>
      </c>
      <c r="H1206">
        <v>42</v>
      </c>
    </row>
    <row r="1207" spans="1:8" x14ac:dyDescent="0.2">
      <c r="A1207" s="1">
        <v>41110</v>
      </c>
      <c r="B1207">
        <v>4</v>
      </c>
      <c r="C1207">
        <v>31</v>
      </c>
      <c r="D1207">
        <v>33</v>
      </c>
      <c r="E1207">
        <v>37</v>
      </c>
      <c r="F1207">
        <v>39</v>
      </c>
      <c r="G1207">
        <v>45</v>
      </c>
      <c r="H1207">
        <v>41</v>
      </c>
    </row>
    <row r="1208" spans="1:8" x14ac:dyDescent="0.2">
      <c r="A1208" s="1">
        <v>41106</v>
      </c>
      <c r="B1208">
        <v>5</v>
      </c>
      <c r="C1208">
        <v>12</v>
      </c>
      <c r="D1208">
        <v>17</v>
      </c>
      <c r="E1208">
        <v>18</v>
      </c>
      <c r="F1208">
        <v>33</v>
      </c>
      <c r="G1208">
        <v>40</v>
      </c>
      <c r="H1208">
        <v>15</v>
      </c>
    </row>
    <row r="1209" spans="1:8" x14ac:dyDescent="0.2">
      <c r="A1209" s="1">
        <v>41102</v>
      </c>
      <c r="B1209">
        <v>2</v>
      </c>
      <c r="C1209">
        <v>3</v>
      </c>
      <c r="D1209">
        <v>19</v>
      </c>
      <c r="E1209">
        <v>21</v>
      </c>
      <c r="F1209">
        <v>23</v>
      </c>
      <c r="G1209">
        <v>45</v>
      </c>
      <c r="H1209">
        <v>25</v>
      </c>
    </row>
    <row r="1210" spans="1:8" x14ac:dyDescent="0.2">
      <c r="A1210" s="1">
        <v>41099</v>
      </c>
      <c r="B1210">
        <v>9</v>
      </c>
      <c r="C1210">
        <v>16</v>
      </c>
      <c r="D1210">
        <v>22</v>
      </c>
      <c r="E1210">
        <v>26</v>
      </c>
      <c r="F1210">
        <v>33</v>
      </c>
      <c r="G1210">
        <v>45</v>
      </c>
      <c r="H1210">
        <v>43</v>
      </c>
    </row>
    <row r="1211" spans="1:8" x14ac:dyDescent="0.2">
      <c r="A1211" s="1">
        <v>41095</v>
      </c>
      <c r="B1211">
        <v>29</v>
      </c>
      <c r="C1211">
        <v>33</v>
      </c>
      <c r="D1211">
        <v>34</v>
      </c>
      <c r="E1211">
        <v>37</v>
      </c>
      <c r="F1211">
        <v>42</v>
      </c>
      <c r="G1211">
        <v>44</v>
      </c>
      <c r="H1211">
        <v>17</v>
      </c>
    </row>
    <row r="1212" spans="1:8" x14ac:dyDescent="0.2">
      <c r="A1212" s="1">
        <v>41092</v>
      </c>
      <c r="B1212">
        <v>7</v>
      </c>
      <c r="C1212">
        <v>10</v>
      </c>
      <c r="D1212">
        <v>12</v>
      </c>
      <c r="E1212">
        <v>29</v>
      </c>
      <c r="F1212">
        <v>35</v>
      </c>
      <c r="G1212">
        <v>38</v>
      </c>
      <c r="H1212">
        <v>8</v>
      </c>
    </row>
    <row r="1213" spans="1:8" x14ac:dyDescent="0.2">
      <c r="A1213" s="1">
        <v>41088</v>
      </c>
      <c r="B1213">
        <v>12</v>
      </c>
      <c r="C1213">
        <v>15</v>
      </c>
      <c r="D1213">
        <v>16</v>
      </c>
      <c r="E1213">
        <v>21</v>
      </c>
      <c r="F1213">
        <v>25</v>
      </c>
      <c r="G1213">
        <v>26</v>
      </c>
      <c r="H1213">
        <v>8</v>
      </c>
    </row>
    <row r="1214" spans="1:8" x14ac:dyDescent="0.2">
      <c r="A1214" s="1">
        <v>41085</v>
      </c>
      <c r="B1214">
        <v>8</v>
      </c>
      <c r="C1214">
        <v>18</v>
      </c>
      <c r="D1214">
        <v>19</v>
      </c>
      <c r="E1214">
        <v>30</v>
      </c>
      <c r="F1214">
        <v>31</v>
      </c>
      <c r="G1214">
        <v>38</v>
      </c>
      <c r="H1214">
        <v>14</v>
      </c>
    </row>
    <row r="1215" spans="1:8" x14ac:dyDescent="0.2">
      <c r="A1215" s="1">
        <v>41081</v>
      </c>
      <c r="B1215">
        <v>6</v>
      </c>
      <c r="C1215">
        <v>8</v>
      </c>
      <c r="D1215">
        <v>10</v>
      </c>
      <c r="E1215">
        <v>14</v>
      </c>
      <c r="F1215">
        <v>18</v>
      </c>
      <c r="G1215">
        <v>21</v>
      </c>
      <c r="H1215">
        <v>43</v>
      </c>
    </row>
    <row r="1216" spans="1:8" x14ac:dyDescent="0.2">
      <c r="A1216" s="1">
        <v>41078</v>
      </c>
      <c r="B1216">
        <v>1</v>
      </c>
      <c r="C1216">
        <v>2</v>
      </c>
      <c r="D1216">
        <v>8</v>
      </c>
      <c r="E1216">
        <v>9</v>
      </c>
      <c r="F1216">
        <v>16</v>
      </c>
      <c r="G1216">
        <v>33</v>
      </c>
      <c r="H1216">
        <v>12</v>
      </c>
    </row>
    <row r="1217" spans="1:8" x14ac:dyDescent="0.2">
      <c r="A1217" s="1">
        <v>41074</v>
      </c>
      <c r="B1217">
        <v>16</v>
      </c>
      <c r="C1217">
        <v>17</v>
      </c>
      <c r="D1217">
        <v>25</v>
      </c>
      <c r="E1217">
        <v>27</v>
      </c>
      <c r="F1217">
        <v>28</v>
      </c>
      <c r="G1217">
        <v>35</v>
      </c>
      <c r="H1217">
        <v>45</v>
      </c>
    </row>
    <row r="1218" spans="1:8" x14ac:dyDescent="0.2">
      <c r="A1218" s="1">
        <v>41071</v>
      </c>
      <c r="B1218">
        <v>1</v>
      </c>
      <c r="C1218">
        <v>3</v>
      </c>
      <c r="D1218">
        <v>9</v>
      </c>
      <c r="E1218">
        <v>11</v>
      </c>
      <c r="F1218">
        <v>35</v>
      </c>
      <c r="G1218">
        <v>38</v>
      </c>
      <c r="H1218">
        <v>6</v>
      </c>
    </row>
    <row r="1219" spans="1:8" x14ac:dyDescent="0.2">
      <c r="A1219" s="1">
        <v>41067</v>
      </c>
      <c r="B1219">
        <v>5</v>
      </c>
      <c r="C1219">
        <v>8</v>
      </c>
      <c r="D1219">
        <v>19</v>
      </c>
      <c r="E1219">
        <v>20</v>
      </c>
      <c r="F1219">
        <v>23</v>
      </c>
      <c r="G1219">
        <v>30</v>
      </c>
      <c r="H1219">
        <v>16</v>
      </c>
    </row>
    <row r="1220" spans="1:8" x14ac:dyDescent="0.2">
      <c r="A1220" s="1">
        <v>41064</v>
      </c>
      <c r="B1220">
        <v>11</v>
      </c>
      <c r="C1220">
        <v>12</v>
      </c>
      <c r="D1220">
        <v>17</v>
      </c>
      <c r="E1220">
        <v>20</v>
      </c>
      <c r="F1220">
        <v>40</v>
      </c>
      <c r="G1220">
        <v>41</v>
      </c>
      <c r="H1220">
        <v>10</v>
      </c>
    </row>
    <row r="1221" spans="1:8" x14ac:dyDescent="0.2">
      <c r="A1221" s="1">
        <v>41060</v>
      </c>
      <c r="B1221">
        <v>7</v>
      </c>
      <c r="C1221">
        <v>13</v>
      </c>
      <c r="D1221">
        <v>15</v>
      </c>
      <c r="E1221">
        <v>19</v>
      </c>
      <c r="F1221">
        <v>38</v>
      </c>
      <c r="G1221">
        <v>43</v>
      </c>
      <c r="H1221">
        <v>14</v>
      </c>
    </row>
    <row r="1222" spans="1:8" x14ac:dyDescent="0.2">
      <c r="A1222" s="1">
        <v>41057</v>
      </c>
      <c r="B1222">
        <v>5</v>
      </c>
      <c r="C1222">
        <v>8</v>
      </c>
      <c r="D1222">
        <v>17</v>
      </c>
      <c r="E1222">
        <v>22</v>
      </c>
      <c r="F1222">
        <v>35</v>
      </c>
      <c r="G1222">
        <v>43</v>
      </c>
      <c r="H1222">
        <v>1</v>
      </c>
    </row>
    <row r="1223" spans="1:8" x14ac:dyDescent="0.2">
      <c r="A1223" s="1">
        <v>41053</v>
      </c>
      <c r="B1223">
        <v>13</v>
      </c>
      <c r="C1223">
        <v>22</v>
      </c>
      <c r="D1223">
        <v>30</v>
      </c>
      <c r="E1223">
        <v>31</v>
      </c>
      <c r="F1223">
        <v>34</v>
      </c>
      <c r="G1223">
        <v>38</v>
      </c>
      <c r="H1223">
        <v>6</v>
      </c>
    </row>
    <row r="1224" spans="1:8" x14ac:dyDescent="0.2">
      <c r="A1224" s="1">
        <v>41050</v>
      </c>
      <c r="B1224">
        <v>4</v>
      </c>
      <c r="C1224">
        <v>7</v>
      </c>
      <c r="D1224">
        <v>27</v>
      </c>
      <c r="E1224">
        <v>34</v>
      </c>
      <c r="F1224">
        <v>36</v>
      </c>
      <c r="G1224">
        <v>42</v>
      </c>
      <c r="H1224">
        <v>11</v>
      </c>
    </row>
    <row r="1225" spans="1:8" x14ac:dyDescent="0.2">
      <c r="A1225" s="1">
        <v>41047</v>
      </c>
      <c r="B1225">
        <v>9</v>
      </c>
      <c r="C1225">
        <v>17</v>
      </c>
      <c r="D1225">
        <v>18</v>
      </c>
      <c r="E1225">
        <v>32</v>
      </c>
      <c r="F1225">
        <v>33</v>
      </c>
      <c r="G1225">
        <v>44</v>
      </c>
      <c r="H1225">
        <v>4</v>
      </c>
    </row>
    <row r="1226" spans="1:8" x14ac:dyDescent="0.2">
      <c r="A1226" s="1">
        <v>41043</v>
      </c>
      <c r="B1226">
        <v>8</v>
      </c>
      <c r="C1226">
        <v>14</v>
      </c>
      <c r="D1226">
        <v>22</v>
      </c>
      <c r="E1226">
        <v>24</v>
      </c>
      <c r="F1226">
        <v>29</v>
      </c>
      <c r="G1226">
        <v>41</v>
      </c>
      <c r="H1226">
        <v>43</v>
      </c>
    </row>
    <row r="1227" spans="1:8" x14ac:dyDescent="0.2">
      <c r="A1227" s="1">
        <v>41039</v>
      </c>
      <c r="B1227">
        <v>8</v>
      </c>
      <c r="C1227">
        <v>9</v>
      </c>
      <c r="D1227">
        <v>11</v>
      </c>
      <c r="E1227">
        <v>20</v>
      </c>
      <c r="F1227">
        <v>22</v>
      </c>
      <c r="G1227">
        <v>38</v>
      </c>
      <c r="H1227">
        <v>5</v>
      </c>
    </row>
    <row r="1228" spans="1:8" x14ac:dyDescent="0.2">
      <c r="A1228" s="1">
        <v>41036</v>
      </c>
      <c r="B1228">
        <v>8</v>
      </c>
      <c r="C1228">
        <v>12</v>
      </c>
      <c r="D1228">
        <v>28</v>
      </c>
      <c r="E1228">
        <v>29</v>
      </c>
      <c r="F1228">
        <v>32</v>
      </c>
      <c r="G1228">
        <v>42</v>
      </c>
      <c r="H1228">
        <v>24</v>
      </c>
    </row>
    <row r="1229" spans="1:8" x14ac:dyDescent="0.2">
      <c r="A1229" s="1">
        <v>41032</v>
      </c>
      <c r="B1229">
        <v>2</v>
      </c>
      <c r="C1229">
        <v>3</v>
      </c>
      <c r="D1229">
        <v>9</v>
      </c>
      <c r="E1229">
        <v>13</v>
      </c>
      <c r="F1229">
        <v>14</v>
      </c>
      <c r="G1229">
        <v>39</v>
      </c>
      <c r="H1229">
        <v>8</v>
      </c>
    </row>
    <row r="1230" spans="1:8" x14ac:dyDescent="0.2">
      <c r="A1230" s="1">
        <v>41029</v>
      </c>
      <c r="B1230">
        <v>5</v>
      </c>
      <c r="C1230">
        <v>15</v>
      </c>
      <c r="D1230">
        <v>29</v>
      </c>
      <c r="E1230">
        <v>36</v>
      </c>
      <c r="F1230">
        <v>37</v>
      </c>
      <c r="G1230">
        <v>45</v>
      </c>
      <c r="H1230">
        <v>25</v>
      </c>
    </row>
    <row r="1231" spans="1:8" x14ac:dyDescent="0.2">
      <c r="A1231" s="1">
        <v>41025</v>
      </c>
      <c r="B1231">
        <v>4</v>
      </c>
      <c r="C1231">
        <v>9</v>
      </c>
      <c r="D1231">
        <v>14</v>
      </c>
      <c r="E1231">
        <v>26</v>
      </c>
      <c r="F1231">
        <v>30</v>
      </c>
      <c r="G1231">
        <v>43</v>
      </c>
      <c r="H1231">
        <v>12</v>
      </c>
    </row>
    <row r="1232" spans="1:8" x14ac:dyDescent="0.2">
      <c r="A1232" s="1">
        <v>41022</v>
      </c>
      <c r="B1232">
        <v>1</v>
      </c>
      <c r="C1232">
        <v>9</v>
      </c>
      <c r="D1232">
        <v>10</v>
      </c>
      <c r="E1232">
        <v>15</v>
      </c>
      <c r="F1232">
        <v>17</v>
      </c>
      <c r="G1232">
        <v>34</v>
      </c>
      <c r="H1232">
        <v>19</v>
      </c>
    </row>
    <row r="1233" spans="1:8" x14ac:dyDescent="0.2">
      <c r="A1233" s="1">
        <v>41018</v>
      </c>
      <c r="B1233">
        <v>9</v>
      </c>
      <c r="C1233">
        <v>15</v>
      </c>
      <c r="D1233">
        <v>18</v>
      </c>
      <c r="E1233">
        <v>21</v>
      </c>
      <c r="F1233">
        <v>26</v>
      </c>
      <c r="G1233">
        <v>30</v>
      </c>
      <c r="H1233">
        <v>39</v>
      </c>
    </row>
    <row r="1234" spans="1:8" x14ac:dyDescent="0.2">
      <c r="A1234" s="1">
        <v>41015</v>
      </c>
      <c r="B1234">
        <v>1</v>
      </c>
      <c r="C1234">
        <v>11</v>
      </c>
      <c r="D1234">
        <v>27</v>
      </c>
      <c r="E1234">
        <v>37</v>
      </c>
      <c r="F1234">
        <v>43</v>
      </c>
      <c r="G1234">
        <v>44</v>
      </c>
      <c r="H1234">
        <v>12</v>
      </c>
    </row>
    <row r="1235" spans="1:8" x14ac:dyDescent="0.2">
      <c r="A1235" s="1">
        <v>41011</v>
      </c>
      <c r="B1235">
        <v>22</v>
      </c>
      <c r="C1235">
        <v>31</v>
      </c>
      <c r="D1235">
        <v>34</v>
      </c>
      <c r="E1235">
        <v>36</v>
      </c>
      <c r="F1235">
        <v>38</v>
      </c>
      <c r="G1235">
        <v>39</v>
      </c>
      <c r="H1235">
        <v>43</v>
      </c>
    </row>
    <row r="1236" spans="1:8" x14ac:dyDescent="0.2">
      <c r="A1236" s="1">
        <v>41008</v>
      </c>
      <c r="B1236">
        <v>1</v>
      </c>
      <c r="C1236">
        <v>2</v>
      </c>
      <c r="D1236">
        <v>19</v>
      </c>
      <c r="E1236">
        <v>24</v>
      </c>
      <c r="F1236">
        <v>42</v>
      </c>
      <c r="G1236">
        <v>45</v>
      </c>
      <c r="H1236">
        <v>32</v>
      </c>
    </row>
    <row r="1237" spans="1:8" x14ac:dyDescent="0.2">
      <c r="A1237" s="1">
        <v>41004</v>
      </c>
      <c r="B1237">
        <v>12</v>
      </c>
      <c r="C1237">
        <v>13</v>
      </c>
      <c r="D1237">
        <v>17</v>
      </c>
      <c r="E1237">
        <v>36</v>
      </c>
      <c r="F1237">
        <v>43</v>
      </c>
      <c r="G1237">
        <v>44</v>
      </c>
      <c r="H1237">
        <v>41</v>
      </c>
    </row>
    <row r="1238" spans="1:8" x14ac:dyDescent="0.2">
      <c r="A1238" s="1">
        <v>41001</v>
      </c>
      <c r="B1238">
        <v>1</v>
      </c>
      <c r="C1238">
        <v>18</v>
      </c>
      <c r="D1238">
        <v>21</v>
      </c>
      <c r="E1238">
        <v>31</v>
      </c>
      <c r="F1238">
        <v>42</v>
      </c>
      <c r="G1238">
        <v>44</v>
      </c>
      <c r="H1238">
        <v>28</v>
      </c>
    </row>
    <row r="1239" spans="1:8" x14ac:dyDescent="0.2">
      <c r="A1239" s="1">
        <v>40997</v>
      </c>
      <c r="B1239">
        <v>1</v>
      </c>
      <c r="C1239">
        <v>19</v>
      </c>
      <c r="D1239">
        <v>33</v>
      </c>
      <c r="E1239">
        <v>36</v>
      </c>
      <c r="F1239">
        <v>37</v>
      </c>
      <c r="G1239">
        <v>40</v>
      </c>
      <c r="H1239">
        <v>5</v>
      </c>
    </row>
    <row r="1240" spans="1:8" x14ac:dyDescent="0.2">
      <c r="A1240" s="1">
        <v>40994</v>
      </c>
      <c r="B1240">
        <v>2</v>
      </c>
      <c r="C1240">
        <v>4</v>
      </c>
      <c r="D1240">
        <v>5</v>
      </c>
      <c r="E1240">
        <v>15</v>
      </c>
      <c r="F1240">
        <v>30</v>
      </c>
      <c r="G1240">
        <v>40</v>
      </c>
      <c r="H1240">
        <v>1</v>
      </c>
    </row>
    <row r="1241" spans="1:8" x14ac:dyDescent="0.2">
      <c r="A1241" s="1">
        <v>40990</v>
      </c>
      <c r="B1241">
        <v>7</v>
      </c>
      <c r="C1241">
        <v>12</v>
      </c>
      <c r="D1241">
        <v>21</v>
      </c>
      <c r="E1241">
        <v>34</v>
      </c>
      <c r="F1241">
        <v>39</v>
      </c>
      <c r="G1241">
        <v>42</v>
      </c>
      <c r="H1241">
        <v>14</v>
      </c>
    </row>
    <row r="1242" spans="1:8" x14ac:dyDescent="0.2">
      <c r="A1242" s="1">
        <v>40987</v>
      </c>
      <c r="B1242">
        <v>6</v>
      </c>
      <c r="C1242">
        <v>8</v>
      </c>
      <c r="D1242">
        <v>13</v>
      </c>
      <c r="E1242">
        <v>19</v>
      </c>
      <c r="F1242">
        <v>23</v>
      </c>
      <c r="G1242">
        <v>29</v>
      </c>
      <c r="H1242">
        <v>44</v>
      </c>
    </row>
    <row r="1243" spans="1:8" x14ac:dyDescent="0.2">
      <c r="A1243" s="1">
        <v>40983</v>
      </c>
      <c r="B1243">
        <v>2</v>
      </c>
      <c r="C1243">
        <v>8</v>
      </c>
      <c r="D1243">
        <v>15</v>
      </c>
      <c r="E1243">
        <v>21</v>
      </c>
      <c r="F1243">
        <v>27</v>
      </c>
      <c r="G1243">
        <v>35</v>
      </c>
      <c r="H1243">
        <v>7</v>
      </c>
    </row>
    <row r="1244" spans="1:8" x14ac:dyDescent="0.2">
      <c r="A1244" s="1">
        <v>40980</v>
      </c>
      <c r="B1244">
        <v>1</v>
      </c>
      <c r="C1244">
        <v>11</v>
      </c>
      <c r="D1244">
        <v>20</v>
      </c>
      <c r="E1244">
        <v>25</v>
      </c>
      <c r="F1244">
        <v>26</v>
      </c>
      <c r="G1244">
        <v>36</v>
      </c>
      <c r="H1244">
        <v>33</v>
      </c>
    </row>
    <row r="1245" spans="1:8" x14ac:dyDescent="0.2">
      <c r="A1245" s="1">
        <v>40976</v>
      </c>
      <c r="B1245">
        <v>5</v>
      </c>
      <c r="C1245">
        <v>11</v>
      </c>
      <c r="D1245">
        <v>38</v>
      </c>
      <c r="E1245">
        <v>39</v>
      </c>
      <c r="F1245">
        <v>41</v>
      </c>
      <c r="G1245">
        <v>45</v>
      </c>
      <c r="H1245">
        <v>1</v>
      </c>
    </row>
    <row r="1246" spans="1:8" x14ac:dyDescent="0.2">
      <c r="A1246" s="1">
        <v>40973</v>
      </c>
      <c r="B1246">
        <v>8</v>
      </c>
      <c r="C1246">
        <v>13</v>
      </c>
      <c r="D1246">
        <v>17</v>
      </c>
      <c r="E1246">
        <v>25</v>
      </c>
      <c r="F1246">
        <v>27</v>
      </c>
      <c r="G1246">
        <v>29</v>
      </c>
      <c r="H1246">
        <v>11</v>
      </c>
    </row>
    <row r="1247" spans="1:8" x14ac:dyDescent="0.2">
      <c r="A1247" s="1">
        <v>40969</v>
      </c>
      <c r="B1247">
        <v>11</v>
      </c>
      <c r="C1247">
        <v>12</v>
      </c>
      <c r="D1247">
        <v>17</v>
      </c>
      <c r="E1247">
        <v>23</v>
      </c>
      <c r="F1247">
        <v>30</v>
      </c>
      <c r="G1247">
        <v>31</v>
      </c>
      <c r="H1247">
        <v>41</v>
      </c>
    </row>
    <row r="1248" spans="1:8" x14ac:dyDescent="0.2">
      <c r="A1248" s="1">
        <v>40966</v>
      </c>
      <c r="B1248">
        <v>9</v>
      </c>
      <c r="C1248">
        <v>14</v>
      </c>
      <c r="D1248">
        <v>17</v>
      </c>
      <c r="E1248">
        <v>32</v>
      </c>
      <c r="F1248">
        <v>33</v>
      </c>
      <c r="G1248">
        <v>45</v>
      </c>
      <c r="H1248">
        <v>7</v>
      </c>
    </row>
    <row r="1249" spans="1:8" x14ac:dyDescent="0.2">
      <c r="A1249" s="1">
        <v>40962</v>
      </c>
      <c r="B1249">
        <v>12</v>
      </c>
      <c r="C1249">
        <v>20</v>
      </c>
      <c r="D1249">
        <v>25</v>
      </c>
      <c r="E1249">
        <v>38</v>
      </c>
      <c r="F1249">
        <v>43</v>
      </c>
      <c r="G1249">
        <v>44</v>
      </c>
      <c r="H1249">
        <v>15</v>
      </c>
    </row>
    <row r="1250" spans="1:8" x14ac:dyDescent="0.2">
      <c r="A1250" s="1">
        <v>40959</v>
      </c>
      <c r="B1250">
        <v>2</v>
      </c>
      <c r="C1250">
        <v>17</v>
      </c>
      <c r="D1250">
        <v>20</v>
      </c>
      <c r="E1250">
        <v>33</v>
      </c>
      <c r="F1250">
        <v>36</v>
      </c>
      <c r="G1250">
        <v>37</v>
      </c>
      <c r="H1250">
        <v>42</v>
      </c>
    </row>
    <row r="1251" spans="1:8" x14ac:dyDescent="0.2">
      <c r="A1251" s="1">
        <v>40955</v>
      </c>
      <c r="B1251">
        <v>12</v>
      </c>
      <c r="C1251">
        <v>13</v>
      </c>
      <c r="D1251">
        <v>20</v>
      </c>
      <c r="E1251">
        <v>21</v>
      </c>
      <c r="F1251">
        <v>24</v>
      </c>
      <c r="G1251">
        <v>35</v>
      </c>
      <c r="H1251">
        <v>30</v>
      </c>
    </row>
    <row r="1252" spans="1:8" x14ac:dyDescent="0.2">
      <c r="A1252" s="1">
        <v>40952</v>
      </c>
      <c r="B1252">
        <v>4</v>
      </c>
      <c r="C1252">
        <v>7</v>
      </c>
      <c r="D1252">
        <v>9</v>
      </c>
      <c r="E1252">
        <v>17</v>
      </c>
      <c r="F1252">
        <v>18</v>
      </c>
      <c r="G1252">
        <v>23</v>
      </c>
      <c r="H1252">
        <v>33</v>
      </c>
    </row>
    <row r="1253" spans="1:8" x14ac:dyDescent="0.2">
      <c r="A1253" s="1">
        <v>40948</v>
      </c>
      <c r="B1253">
        <v>8</v>
      </c>
      <c r="C1253">
        <v>9</v>
      </c>
      <c r="D1253">
        <v>12</v>
      </c>
      <c r="E1253">
        <v>31</v>
      </c>
      <c r="F1253">
        <v>44</v>
      </c>
      <c r="G1253">
        <v>45</v>
      </c>
      <c r="H1253">
        <v>23</v>
      </c>
    </row>
    <row r="1254" spans="1:8" x14ac:dyDescent="0.2">
      <c r="A1254" s="1">
        <v>40945</v>
      </c>
      <c r="B1254">
        <v>3</v>
      </c>
      <c r="C1254">
        <v>4</v>
      </c>
      <c r="D1254">
        <v>5</v>
      </c>
      <c r="E1254">
        <v>9</v>
      </c>
      <c r="F1254">
        <v>24</v>
      </c>
      <c r="G1254">
        <v>29</v>
      </c>
      <c r="H1254">
        <v>7</v>
      </c>
    </row>
    <row r="1255" spans="1:8" x14ac:dyDescent="0.2">
      <c r="A1255" s="1">
        <v>40942</v>
      </c>
      <c r="B1255">
        <v>3</v>
      </c>
      <c r="C1255">
        <v>19</v>
      </c>
      <c r="D1255">
        <v>21</v>
      </c>
      <c r="E1255">
        <v>27</v>
      </c>
      <c r="F1255">
        <v>33</v>
      </c>
      <c r="G1255">
        <v>34</v>
      </c>
      <c r="H1255">
        <v>8</v>
      </c>
    </row>
    <row r="1256" spans="1:8" x14ac:dyDescent="0.2">
      <c r="A1256" s="1">
        <v>40938</v>
      </c>
      <c r="B1256">
        <v>14</v>
      </c>
      <c r="C1256">
        <v>17</v>
      </c>
      <c r="D1256">
        <v>32</v>
      </c>
      <c r="E1256">
        <v>33</v>
      </c>
      <c r="F1256">
        <v>38</v>
      </c>
      <c r="G1256">
        <v>41</v>
      </c>
      <c r="H1256">
        <v>27</v>
      </c>
    </row>
    <row r="1257" spans="1:8" x14ac:dyDescent="0.2">
      <c r="A1257" s="1">
        <v>40934</v>
      </c>
      <c r="B1257">
        <v>4</v>
      </c>
      <c r="C1257">
        <v>5</v>
      </c>
      <c r="D1257">
        <v>15</v>
      </c>
      <c r="E1257">
        <v>16</v>
      </c>
      <c r="F1257">
        <v>34</v>
      </c>
      <c r="G1257">
        <v>40</v>
      </c>
      <c r="H1257">
        <v>14</v>
      </c>
    </row>
    <row r="1258" spans="1:8" x14ac:dyDescent="0.2">
      <c r="A1258" s="1">
        <v>40931</v>
      </c>
      <c r="B1258">
        <v>5</v>
      </c>
      <c r="C1258">
        <v>15</v>
      </c>
      <c r="D1258">
        <v>17</v>
      </c>
      <c r="E1258">
        <v>29</v>
      </c>
      <c r="F1258">
        <v>31</v>
      </c>
      <c r="G1258">
        <v>33</v>
      </c>
      <c r="H1258">
        <v>32</v>
      </c>
    </row>
    <row r="1259" spans="1:8" x14ac:dyDescent="0.2">
      <c r="A1259" s="1">
        <v>40928</v>
      </c>
      <c r="B1259">
        <v>7</v>
      </c>
      <c r="C1259">
        <v>18</v>
      </c>
      <c r="D1259">
        <v>26</v>
      </c>
      <c r="E1259">
        <v>41</v>
      </c>
      <c r="F1259">
        <v>43</v>
      </c>
      <c r="G1259">
        <v>44</v>
      </c>
      <c r="H1259">
        <v>45</v>
      </c>
    </row>
    <row r="1260" spans="1:8" x14ac:dyDescent="0.2">
      <c r="A1260" s="1">
        <v>40924</v>
      </c>
      <c r="B1260">
        <v>14</v>
      </c>
      <c r="C1260">
        <v>27</v>
      </c>
      <c r="D1260">
        <v>28</v>
      </c>
      <c r="E1260">
        <v>29</v>
      </c>
      <c r="F1260">
        <v>36</v>
      </c>
      <c r="G1260">
        <v>40</v>
      </c>
      <c r="H1260">
        <v>19</v>
      </c>
    </row>
    <row r="1261" spans="1:8" x14ac:dyDescent="0.2">
      <c r="A1261" s="1">
        <v>40920</v>
      </c>
      <c r="B1261">
        <v>4</v>
      </c>
      <c r="C1261">
        <v>16</v>
      </c>
      <c r="D1261">
        <v>18</v>
      </c>
      <c r="E1261">
        <v>22</v>
      </c>
      <c r="F1261">
        <v>23</v>
      </c>
      <c r="G1261">
        <v>43</v>
      </c>
      <c r="H1261">
        <v>25</v>
      </c>
    </row>
    <row r="1262" spans="1:8" x14ac:dyDescent="0.2">
      <c r="A1262" s="1">
        <v>40917</v>
      </c>
      <c r="B1262">
        <v>9</v>
      </c>
      <c r="C1262">
        <v>12</v>
      </c>
      <c r="D1262">
        <v>21</v>
      </c>
      <c r="E1262">
        <v>22</v>
      </c>
      <c r="F1262">
        <v>28</v>
      </c>
      <c r="G1262">
        <v>43</v>
      </c>
      <c r="H1262">
        <v>33</v>
      </c>
    </row>
    <row r="1263" spans="1:8" x14ac:dyDescent="0.2">
      <c r="A1263" s="1">
        <v>40913</v>
      </c>
      <c r="B1263">
        <v>5</v>
      </c>
      <c r="C1263">
        <v>7</v>
      </c>
      <c r="D1263">
        <v>15</v>
      </c>
      <c r="E1263">
        <v>24</v>
      </c>
      <c r="F1263">
        <v>27</v>
      </c>
      <c r="G1263">
        <v>33</v>
      </c>
      <c r="H1263">
        <v>45</v>
      </c>
    </row>
    <row r="1264" spans="1:8" x14ac:dyDescent="0.2">
      <c r="A1264" s="1">
        <v>40910</v>
      </c>
      <c r="B1264">
        <v>3</v>
      </c>
      <c r="C1264">
        <v>20</v>
      </c>
      <c r="D1264">
        <v>30</v>
      </c>
      <c r="E1264">
        <v>36</v>
      </c>
      <c r="F1264">
        <v>37</v>
      </c>
      <c r="G1264">
        <v>43</v>
      </c>
      <c r="H1264">
        <v>22</v>
      </c>
    </row>
    <row r="1265" spans="1:8" x14ac:dyDescent="0.2">
      <c r="A1265" s="1">
        <v>40906</v>
      </c>
      <c r="B1265">
        <v>13</v>
      </c>
      <c r="C1265">
        <v>17</v>
      </c>
      <c r="D1265">
        <v>21</v>
      </c>
      <c r="E1265">
        <v>22</v>
      </c>
      <c r="F1265">
        <v>24</v>
      </c>
      <c r="G1265">
        <v>45</v>
      </c>
      <c r="H1265">
        <v>26</v>
      </c>
    </row>
    <row r="1266" spans="1:8" x14ac:dyDescent="0.2">
      <c r="A1266" s="1">
        <v>40903</v>
      </c>
      <c r="B1266">
        <v>1</v>
      </c>
      <c r="C1266">
        <v>3</v>
      </c>
      <c r="D1266">
        <v>13</v>
      </c>
      <c r="E1266">
        <v>36</v>
      </c>
      <c r="F1266">
        <v>41</v>
      </c>
      <c r="G1266">
        <v>42</v>
      </c>
      <c r="H1266">
        <v>37</v>
      </c>
    </row>
    <row r="1267" spans="1:8" x14ac:dyDescent="0.2">
      <c r="A1267" s="1">
        <v>40899</v>
      </c>
      <c r="B1267">
        <v>7</v>
      </c>
      <c r="C1267">
        <v>9</v>
      </c>
      <c r="D1267">
        <v>26</v>
      </c>
      <c r="E1267">
        <v>33</v>
      </c>
      <c r="F1267">
        <v>39</v>
      </c>
      <c r="G1267">
        <v>40</v>
      </c>
      <c r="H1267">
        <v>30</v>
      </c>
    </row>
    <row r="1268" spans="1:8" x14ac:dyDescent="0.2">
      <c r="A1268" s="1">
        <v>40896</v>
      </c>
      <c r="B1268">
        <v>3</v>
      </c>
      <c r="C1268">
        <v>10</v>
      </c>
      <c r="D1268">
        <v>37</v>
      </c>
      <c r="E1268">
        <v>38</v>
      </c>
      <c r="F1268">
        <v>40</v>
      </c>
      <c r="G1268">
        <v>41</v>
      </c>
      <c r="H1268">
        <v>21</v>
      </c>
    </row>
    <row r="1269" spans="1:8" x14ac:dyDescent="0.2">
      <c r="A1269" s="1">
        <v>40892</v>
      </c>
      <c r="B1269">
        <v>4</v>
      </c>
      <c r="C1269">
        <v>6</v>
      </c>
      <c r="D1269">
        <v>15</v>
      </c>
      <c r="E1269">
        <v>16</v>
      </c>
      <c r="F1269">
        <v>20</v>
      </c>
      <c r="G1269">
        <v>36</v>
      </c>
      <c r="H1269">
        <v>35</v>
      </c>
    </row>
    <row r="1270" spans="1:8" x14ac:dyDescent="0.2">
      <c r="A1270" s="1">
        <v>40889</v>
      </c>
      <c r="B1270">
        <v>2</v>
      </c>
      <c r="C1270">
        <v>10</v>
      </c>
      <c r="D1270">
        <v>20</v>
      </c>
      <c r="E1270">
        <v>28</v>
      </c>
      <c r="F1270">
        <v>33</v>
      </c>
      <c r="G1270">
        <v>35</v>
      </c>
      <c r="H1270">
        <v>16</v>
      </c>
    </row>
    <row r="1271" spans="1:8" x14ac:dyDescent="0.2">
      <c r="A1271" s="1">
        <v>40885</v>
      </c>
      <c r="B1271">
        <v>3</v>
      </c>
      <c r="C1271">
        <v>5</v>
      </c>
      <c r="D1271">
        <v>7</v>
      </c>
      <c r="E1271">
        <v>17</v>
      </c>
      <c r="F1271">
        <v>41</v>
      </c>
      <c r="G1271">
        <v>45</v>
      </c>
      <c r="H1271">
        <v>30</v>
      </c>
    </row>
    <row r="1272" spans="1:8" x14ac:dyDescent="0.2">
      <c r="A1272" s="1">
        <v>40882</v>
      </c>
      <c r="B1272">
        <v>4</v>
      </c>
      <c r="C1272">
        <v>10</v>
      </c>
      <c r="D1272">
        <v>21</v>
      </c>
      <c r="E1272">
        <v>22</v>
      </c>
      <c r="F1272">
        <v>27</v>
      </c>
      <c r="G1272">
        <v>32</v>
      </c>
      <c r="H1272">
        <v>44</v>
      </c>
    </row>
    <row r="1273" spans="1:8" x14ac:dyDescent="0.2">
      <c r="A1273" s="1">
        <v>40878</v>
      </c>
      <c r="B1273">
        <v>5</v>
      </c>
      <c r="C1273">
        <v>7</v>
      </c>
      <c r="D1273">
        <v>27</v>
      </c>
      <c r="E1273">
        <v>36</v>
      </c>
      <c r="F1273">
        <v>38</v>
      </c>
      <c r="G1273">
        <v>44</v>
      </c>
      <c r="H1273">
        <v>15</v>
      </c>
    </row>
    <row r="1274" spans="1:8" x14ac:dyDescent="0.2">
      <c r="A1274" s="1">
        <v>40875</v>
      </c>
      <c r="B1274">
        <v>7</v>
      </c>
      <c r="C1274">
        <v>19</v>
      </c>
      <c r="D1274">
        <v>20</v>
      </c>
      <c r="E1274">
        <v>24</v>
      </c>
      <c r="F1274">
        <v>33</v>
      </c>
      <c r="G1274">
        <v>36</v>
      </c>
      <c r="H1274">
        <v>6</v>
      </c>
    </row>
    <row r="1275" spans="1:8" x14ac:dyDescent="0.2">
      <c r="A1275" s="1">
        <v>40871</v>
      </c>
      <c r="B1275">
        <v>13</v>
      </c>
      <c r="C1275">
        <v>20</v>
      </c>
      <c r="D1275">
        <v>32</v>
      </c>
      <c r="E1275">
        <v>41</v>
      </c>
      <c r="F1275">
        <v>43</v>
      </c>
      <c r="G1275">
        <v>44</v>
      </c>
      <c r="H1275">
        <v>21</v>
      </c>
    </row>
    <row r="1276" spans="1:8" x14ac:dyDescent="0.2">
      <c r="A1276" s="1">
        <v>40868</v>
      </c>
      <c r="B1276">
        <v>6</v>
      </c>
      <c r="C1276">
        <v>13</v>
      </c>
      <c r="D1276">
        <v>17</v>
      </c>
      <c r="E1276">
        <v>26</v>
      </c>
      <c r="F1276">
        <v>36</v>
      </c>
      <c r="G1276">
        <v>39</v>
      </c>
      <c r="H1276">
        <v>7</v>
      </c>
    </row>
    <row r="1277" spans="1:8" x14ac:dyDescent="0.2">
      <c r="A1277" s="1">
        <v>40864</v>
      </c>
      <c r="B1277">
        <v>12</v>
      </c>
      <c r="C1277">
        <v>19</v>
      </c>
      <c r="D1277">
        <v>23</v>
      </c>
      <c r="E1277">
        <v>30</v>
      </c>
      <c r="F1277">
        <v>36</v>
      </c>
      <c r="G1277">
        <v>41</v>
      </c>
      <c r="H1277">
        <v>10</v>
      </c>
    </row>
    <row r="1278" spans="1:8" x14ac:dyDescent="0.2">
      <c r="A1278" s="1">
        <v>40861</v>
      </c>
      <c r="B1278">
        <v>1</v>
      </c>
      <c r="C1278">
        <v>4</v>
      </c>
      <c r="D1278">
        <v>11</v>
      </c>
      <c r="E1278">
        <v>34</v>
      </c>
      <c r="F1278">
        <v>35</v>
      </c>
      <c r="G1278">
        <v>43</v>
      </c>
      <c r="H1278">
        <v>41</v>
      </c>
    </row>
    <row r="1279" spans="1:8" x14ac:dyDescent="0.2">
      <c r="A1279" s="1">
        <v>40857</v>
      </c>
      <c r="B1279">
        <v>11</v>
      </c>
      <c r="C1279">
        <v>18</v>
      </c>
      <c r="D1279">
        <v>27</v>
      </c>
      <c r="E1279">
        <v>30</v>
      </c>
      <c r="F1279">
        <v>34</v>
      </c>
      <c r="G1279">
        <v>44</v>
      </c>
      <c r="H1279">
        <v>12</v>
      </c>
    </row>
    <row r="1280" spans="1:8" x14ac:dyDescent="0.2">
      <c r="A1280" s="1">
        <v>40854</v>
      </c>
      <c r="B1280">
        <v>12</v>
      </c>
      <c r="C1280">
        <v>13</v>
      </c>
      <c r="D1280">
        <v>19</v>
      </c>
      <c r="E1280">
        <v>20</v>
      </c>
      <c r="F1280">
        <v>27</v>
      </c>
      <c r="G1280">
        <v>28</v>
      </c>
      <c r="H1280">
        <v>40</v>
      </c>
    </row>
    <row r="1281" spans="1:8" x14ac:dyDescent="0.2">
      <c r="A1281" s="1">
        <v>40850</v>
      </c>
      <c r="B1281">
        <v>8</v>
      </c>
      <c r="C1281">
        <v>12</v>
      </c>
      <c r="D1281">
        <v>24</v>
      </c>
      <c r="E1281">
        <v>39</v>
      </c>
      <c r="F1281">
        <v>40</v>
      </c>
      <c r="G1281">
        <v>41</v>
      </c>
      <c r="H1281">
        <v>23</v>
      </c>
    </row>
    <row r="1282" spans="1:8" x14ac:dyDescent="0.2">
      <c r="A1282" s="1">
        <v>40847</v>
      </c>
      <c r="B1282">
        <v>4</v>
      </c>
      <c r="C1282">
        <v>7</v>
      </c>
      <c r="D1282">
        <v>18</v>
      </c>
      <c r="E1282">
        <v>23</v>
      </c>
      <c r="F1282">
        <v>24</v>
      </c>
      <c r="G1282">
        <v>35</v>
      </c>
      <c r="H1282">
        <v>33</v>
      </c>
    </row>
    <row r="1283" spans="1:8" x14ac:dyDescent="0.2">
      <c r="A1283" s="1">
        <v>40843</v>
      </c>
      <c r="B1283">
        <v>12</v>
      </c>
      <c r="C1283">
        <v>18</v>
      </c>
      <c r="D1283">
        <v>27</v>
      </c>
      <c r="E1283">
        <v>28</v>
      </c>
      <c r="F1283">
        <v>32</v>
      </c>
      <c r="G1283">
        <v>42</v>
      </c>
      <c r="H1283">
        <v>26</v>
      </c>
    </row>
    <row r="1284" spans="1:8" x14ac:dyDescent="0.2">
      <c r="A1284" s="1">
        <v>40840</v>
      </c>
      <c r="B1284">
        <v>4</v>
      </c>
      <c r="C1284">
        <v>24</v>
      </c>
      <c r="D1284">
        <v>27</v>
      </c>
      <c r="E1284">
        <v>37</v>
      </c>
      <c r="F1284">
        <v>40</v>
      </c>
      <c r="G1284">
        <v>42</v>
      </c>
      <c r="H1284">
        <v>22</v>
      </c>
    </row>
    <row r="1285" spans="1:8" x14ac:dyDescent="0.2">
      <c r="A1285" s="1">
        <v>40836</v>
      </c>
      <c r="B1285">
        <v>5</v>
      </c>
      <c r="C1285">
        <v>7</v>
      </c>
      <c r="D1285">
        <v>21</v>
      </c>
      <c r="E1285">
        <v>35</v>
      </c>
      <c r="F1285">
        <v>38</v>
      </c>
      <c r="G1285">
        <v>45</v>
      </c>
      <c r="H1285">
        <v>24</v>
      </c>
    </row>
    <row r="1286" spans="1:8" x14ac:dyDescent="0.2">
      <c r="A1286" s="1">
        <v>40833</v>
      </c>
      <c r="B1286">
        <v>9</v>
      </c>
      <c r="C1286">
        <v>23</v>
      </c>
      <c r="D1286">
        <v>24</v>
      </c>
      <c r="E1286">
        <v>28</v>
      </c>
      <c r="F1286">
        <v>31</v>
      </c>
      <c r="G1286">
        <v>33</v>
      </c>
      <c r="H1286">
        <v>20</v>
      </c>
    </row>
    <row r="1287" spans="1:8" x14ac:dyDescent="0.2">
      <c r="A1287" s="1">
        <v>40829</v>
      </c>
      <c r="B1287">
        <v>16</v>
      </c>
      <c r="C1287">
        <v>20</v>
      </c>
      <c r="D1287">
        <v>21</v>
      </c>
      <c r="E1287">
        <v>28</v>
      </c>
      <c r="F1287">
        <v>32</v>
      </c>
      <c r="G1287">
        <v>36</v>
      </c>
      <c r="H1287">
        <v>26</v>
      </c>
    </row>
    <row r="1288" spans="1:8" x14ac:dyDescent="0.2">
      <c r="A1288" s="1">
        <v>40826</v>
      </c>
      <c r="B1288">
        <v>5</v>
      </c>
      <c r="C1288">
        <v>11</v>
      </c>
      <c r="D1288">
        <v>15</v>
      </c>
      <c r="E1288">
        <v>19</v>
      </c>
      <c r="F1288">
        <v>34</v>
      </c>
      <c r="G1288">
        <v>35</v>
      </c>
      <c r="H1288">
        <v>41</v>
      </c>
    </row>
    <row r="1289" spans="1:8" x14ac:dyDescent="0.2">
      <c r="A1289" s="1">
        <v>40822</v>
      </c>
      <c r="B1289">
        <v>1</v>
      </c>
      <c r="C1289">
        <v>13</v>
      </c>
      <c r="D1289">
        <v>19</v>
      </c>
      <c r="E1289">
        <v>21</v>
      </c>
      <c r="F1289">
        <v>23</v>
      </c>
      <c r="G1289">
        <v>37</v>
      </c>
      <c r="H1289">
        <v>10</v>
      </c>
    </row>
    <row r="1290" spans="1:8" x14ac:dyDescent="0.2">
      <c r="A1290" s="1">
        <v>40819</v>
      </c>
      <c r="B1290">
        <v>1</v>
      </c>
      <c r="C1290">
        <v>18</v>
      </c>
      <c r="D1290">
        <v>31</v>
      </c>
      <c r="E1290">
        <v>32</v>
      </c>
      <c r="F1290">
        <v>36</v>
      </c>
      <c r="G1290">
        <v>43</v>
      </c>
      <c r="H1290">
        <v>16</v>
      </c>
    </row>
    <row r="1291" spans="1:8" x14ac:dyDescent="0.2">
      <c r="A1291" s="1">
        <v>40815</v>
      </c>
      <c r="B1291">
        <v>7</v>
      </c>
      <c r="C1291">
        <v>11</v>
      </c>
      <c r="D1291">
        <v>12</v>
      </c>
      <c r="E1291">
        <v>16</v>
      </c>
      <c r="F1291">
        <v>34</v>
      </c>
      <c r="G1291">
        <v>41</v>
      </c>
      <c r="H1291">
        <v>38</v>
      </c>
    </row>
    <row r="1292" spans="1:8" x14ac:dyDescent="0.2">
      <c r="A1292" s="1">
        <v>40812</v>
      </c>
      <c r="B1292">
        <v>8</v>
      </c>
      <c r="C1292">
        <v>15</v>
      </c>
      <c r="D1292">
        <v>17</v>
      </c>
      <c r="E1292">
        <v>21</v>
      </c>
      <c r="F1292">
        <v>33</v>
      </c>
      <c r="G1292">
        <v>37</v>
      </c>
      <c r="H1292">
        <v>18</v>
      </c>
    </row>
    <row r="1293" spans="1:8" x14ac:dyDescent="0.2">
      <c r="A1293" s="1">
        <v>40808</v>
      </c>
      <c r="B1293">
        <v>2</v>
      </c>
      <c r="C1293">
        <v>11</v>
      </c>
      <c r="D1293">
        <v>21</v>
      </c>
      <c r="E1293">
        <v>36</v>
      </c>
      <c r="F1293">
        <v>37</v>
      </c>
      <c r="G1293">
        <v>44</v>
      </c>
      <c r="H1293">
        <v>24</v>
      </c>
    </row>
    <row r="1294" spans="1:8" x14ac:dyDescent="0.2">
      <c r="A1294" s="1">
        <v>40805</v>
      </c>
      <c r="B1294">
        <v>2</v>
      </c>
      <c r="C1294">
        <v>9</v>
      </c>
      <c r="D1294">
        <v>13</v>
      </c>
      <c r="E1294">
        <v>17</v>
      </c>
      <c r="F1294">
        <v>29</v>
      </c>
      <c r="G1294">
        <v>44</v>
      </c>
      <c r="H1294">
        <v>27</v>
      </c>
    </row>
    <row r="1295" spans="1:8" x14ac:dyDescent="0.2">
      <c r="A1295" s="1">
        <v>40801</v>
      </c>
      <c r="B1295">
        <v>7</v>
      </c>
      <c r="C1295">
        <v>8</v>
      </c>
      <c r="D1295">
        <v>15</v>
      </c>
      <c r="E1295">
        <v>23</v>
      </c>
      <c r="F1295">
        <v>27</v>
      </c>
      <c r="G1295">
        <v>36</v>
      </c>
      <c r="H1295">
        <v>16</v>
      </c>
    </row>
    <row r="1296" spans="1:8" x14ac:dyDescent="0.2">
      <c r="A1296" s="1">
        <v>40798</v>
      </c>
      <c r="B1296">
        <v>6</v>
      </c>
      <c r="C1296">
        <v>9</v>
      </c>
      <c r="D1296">
        <v>17</v>
      </c>
      <c r="E1296">
        <v>20</v>
      </c>
      <c r="F1296">
        <v>24</v>
      </c>
      <c r="G1296">
        <v>26</v>
      </c>
      <c r="H1296">
        <v>28</v>
      </c>
    </row>
    <row r="1297" spans="1:8" x14ac:dyDescent="0.2">
      <c r="A1297" s="1">
        <v>40795</v>
      </c>
      <c r="B1297">
        <v>2</v>
      </c>
      <c r="C1297">
        <v>5</v>
      </c>
      <c r="D1297">
        <v>14</v>
      </c>
      <c r="E1297">
        <v>24</v>
      </c>
      <c r="F1297">
        <v>28</v>
      </c>
      <c r="G1297">
        <v>36</v>
      </c>
      <c r="H1297">
        <v>18</v>
      </c>
    </row>
    <row r="1298" spans="1:8" x14ac:dyDescent="0.2">
      <c r="A1298" s="1">
        <v>40791</v>
      </c>
      <c r="B1298">
        <v>1</v>
      </c>
      <c r="C1298">
        <v>6</v>
      </c>
      <c r="D1298">
        <v>18</v>
      </c>
      <c r="E1298">
        <v>27</v>
      </c>
      <c r="F1298">
        <v>29</v>
      </c>
      <c r="G1298">
        <v>44</v>
      </c>
      <c r="H1298">
        <v>3</v>
      </c>
    </row>
    <row r="1299" spans="1:8" x14ac:dyDescent="0.2">
      <c r="A1299" s="1">
        <v>40787</v>
      </c>
      <c r="B1299">
        <v>3</v>
      </c>
      <c r="C1299">
        <v>13</v>
      </c>
      <c r="D1299">
        <v>17</v>
      </c>
      <c r="E1299">
        <v>28</v>
      </c>
      <c r="F1299">
        <v>44</v>
      </c>
      <c r="G1299">
        <v>45</v>
      </c>
      <c r="H1299">
        <v>9</v>
      </c>
    </row>
    <row r="1300" spans="1:8" x14ac:dyDescent="0.2">
      <c r="A1300" s="1">
        <v>40784</v>
      </c>
      <c r="B1300">
        <v>10</v>
      </c>
      <c r="C1300">
        <v>11</v>
      </c>
      <c r="D1300">
        <v>12</v>
      </c>
      <c r="E1300">
        <v>16</v>
      </c>
      <c r="F1300">
        <v>36</v>
      </c>
      <c r="G1300">
        <v>38</v>
      </c>
      <c r="H1300">
        <v>39</v>
      </c>
    </row>
    <row r="1301" spans="1:8" x14ac:dyDescent="0.2">
      <c r="A1301" s="1">
        <v>40780</v>
      </c>
      <c r="B1301">
        <v>1</v>
      </c>
      <c r="C1301">
        <v>5</v>
      </c>
      <c r="D1301">
        <v>7</v>
      </c>
      <c r="E1301">
        <v>10</v>
      </c>
      <c r="F1301">
        <v>22</v>
      </c>
      <c r="G1301">
        <v>26</v>
      </c>
      <c r="H1301">
        <v>15</v>
      </c>
    </row>
    <row r="1302" spans="1:8" x14ac:dyDescent="0.2">
      <c r="A1302" s="1">
        <v>40777</v>
      </c>
      <c r="B1302">
        <v>2</v>
      </c>
      <c r="C1302">
        <v>25</v>
      </c>
      <c r="D1302">
        <v>34</v>
      </c>
      <c r="E1302">
        <v>35</v>
      </c>
      <c r="F1302">
        <v>37</v>
      </c>
      <c r="G1302">
        <v>43</v>
      </c>
      <c r="H1302">
        <v>8</v>
      </c>
    </row>
    <row r="1303" spans="1:8" x14ac:dyDescent="0.2">
      <c r="A1303" s="1">
        <v>40773</v>
      </c>
      <c r="B1303">
        <v>3</v>
      </c>
      <c r="C1303">
        <v>7</v>
      </c>
      <c r="D1303">
        <v>18</v>
      </c>
      <c r="E1303">
        <v>26</v>
      </c>
      <c r="F1303">
        <v>29</v>
      </c>
      <c r="G1303">
        <v>30</v>
      </c>
      <c r="H1303">
        <v>43</v>
      </c>
    </row>
    <row r="1304" spans="1:8" x14ac:dyDescent="0.2">
      <c r="A1304" s="1">
        <v>40770</v>
      </c>
      <c r="B1304">
        <v>3</v>
      </c>
      <c r="C1304">
        <v>7</v>
      </c>
      <c r="D1304">
        <v>27</v>
      </c>
      <c r="E1304">
        <v>30</v>
      </c>
      <c r="F1304">
        <v>41</v>
      </c>
      <c r="G1304">
        <v>45</v>
      </c>
      <c r="H1304">
        <v>9</v>
      </c>
    </row>
    <row r="1305" spans="1:8" x14ac:dyDescent="0.2">
      <c r="A1305" s="1">
        <v>40766</v>
      </c>
      <c r="B1305">
        <v>1</v>
      </c>
      <c r="C1305">
        <v>13</v>
      </c>
      <c r="D1305">
        <v>22</v>
      </c>
      <c r="E1305">
        <v>23</v>
      </c>
      <c r="F1305">
        <v>24</v>
      </c>
      <c r="G1305">
        <v>36</v>
      </c>
      <c r="H1305">
        <v>12</v>
      </c>
    </row>
    <row r="1306" spans="1:8" x14ac:dyDescent="0.2">
      <c r="A1306" s="1">
        <v>40763</v>
      </c>
      <c r="B1306">
        <v>1</v>
      </c>
      <c r="C1306">
        <v>6</v>
      </c>
      <c r="D1306">
        <v>8</v>
      </c>
      <c r="E1306">
        <v>29</v>
      </c>
      <c r="F1306">
        <v>31</v>
      </c>
      <c r="G1306">
        <v>36</v>
      </c>
      <c r="H1306">
        <v>26</v>
      </c>
    </row>
    <row r="1307" spans="1:8" x14ac:dyDescent="0.2">
      <c r="A1307" s="1">
        <v>40759</v>
      </c>
      <c r="B1307">
        <v>1</v>
      </c>
      <c r="C1307">
        <v>13</v>
      </c>
      <c r="D1307">
        <v>26</v>
      </c>
      <c r="E1307">
        <v>34</v>
      </c>
      <c r="F1307">
        <v>42</v>
      </c>
      <c r="G1307">
        <v>45</v>
      </c>
      <c r="H1307">
        <v>7</v>
      </c>
    </row>
    <row r="1308" spans="1:8" x14ac:dyDescent="0.2">
      <c r="A1308" s="1">
        <v>40756</v>
      </c>
      <c r="B1308">
        <v>17</v>
      </c>
      <c r="C1308">
        <v>20</v>
      </c>
      <c r="D1308">
        <v>21</v>
      </c>
      <c r="E1308">
        <v>22</v>
      </c>
      <c r="F1308">
        <v>24</v>
      </c>
      <c r="G1308">
        <v>30</v>
      </c>
      <c r="H1308">
        <v>16</v>
      </c>
    </row>
    <row r="1309" spans="1:8" x14ac:dyDescent="0.2">
      <c r="A1309" s="1">
        <v>40752</v>
      </c>
      <c r="B1309">
        <v>4</v>
      </c>
      <c r="C1309">
        <v>9</v>
      </c>
      <c r="D1309">
        <v>16</v>
      </c>
      <c r="E1309">
        <v>23</v>
      </c>
      <c r="F1309">
        <v>33</v>
      </c>
      <c r="G1309">
        <v>38</v>
      </c>
      <c r="H1309">
        <v>39</v>
      </c>
    </row>
    <row r="1310" spans="1:8" x14ac:dyDescent="0.2">
      <c r="A1310" s="1">
        <v>40749</v>
      </c>
      <c r="B1310">
        <v>11</v>
      </c>
      <c r="C1310">
        <v>20</v>
      </c>
      <c r="D1310">
        <v>23</v>
      </c>
      <c r="E1310">
        <v>32</v>
      </c>
      <c r="F1310">
        <v>39</v>
      </c>
      <c r="G1310">
        <v>42</v>
      </c>
      <c r="H1310">
        <v>19</v>
      </c>
    </row>
    <row r="1311" spans="1:8" x14ac:dyDescent="0.2">
      <c r="A1311" s="1">
        <v>40746</v>
      </c>
      <c r="B1311">
        <v>11</v>
      </c>
      <c r="C1311">
        <v>12</v>
      </c>
      <c r="D1311">
        <v>17</v>
      </c>
      <c r="E1311">
        <v>25</v>
      </c>
      <c r="F1311">
        <v>27</v>
      </c>
      <c r="G1311">
        <v>32</v>
      </c>
      <c r="H1311">
        <v>42</v>
      </c>
    </row>
    <row r="1312" spans="1:8" x14ac:dyDescent="0.2">
      <c r="A1312" s="1">
        <v>40742</v>
      </c>
      <c r="B1312">
        <v>6</v>
      </c>
      <c r="C1312">
        <v>14</v>
      </c>
      <c r="D1312">
        <v>19</v>
      </c>
      <c r="E1312">
        <v>20</v>
      </c>
      <c r="F1312">
        <v>28</v>
      </c>
      <c r="G1312">
        <v>39</v>
      </c>
      <c r="H1312">
        <v>16</v>
      </c>
    </row>
    <row r="1313" spans="1:8" x14ac:dyDescent="0.2">
      <c r="A1313" s="1">
        <v>40738</v>
      </c>
      <c r="B1313">
        <v>9</v>
      </c>
      <c r="C1313">
        <v>10</v>
      </c>
      <c r="D1313">
        <v>17</v>
      </c>
      <c r="E1313">
        <v>23</v>
      </c>
      <c r="F1313">
        <v>29</v>
      </c>
      <c r="G1313">
        <v>45</v>
      </c>
      <c r="H1313">
        <v>15</v>
      </c>
    </row>
    <row r="1314" spans="1:8" x14ac:dyDescent="0.2">
      <c r="A1314" s="1">
        <v>40735</v>
      </c>
      <c r="B1314">
        <v>4</v>
      </c>
      <c r="C1314">
        <v>9</v>
      </c>
      <c r="D1314">
        <v>18</v>
      </c>
      <c r="E1314">
        <v>19</v>
      </c>
      <c r="F1314">
        <v>41</v>
      </c>
      <c r="G1314">
        <v>44</v>
      </c>
      <c r="H1314">
        <v>23</v>
      </c>
    </row>
    <row r="1315" spans="1:8" x14ac:dyDescent="0.2">
      <c r="A1315" s="1">
        <v>40731</v>
      </c>
      <c r="B1315">
        <v>35</v>
      </c>
      <c r="C1315">
        <v>36</v>
      </c>
      <c r="D1315">
        <v>40</v>
      </c>
      <c r="E1315">
        <v>41</v>
      </c>
      <c r="F1315">
        <v>43</v>
      </c>
      <c r="G1315">
        <v>44</v>
      </c>
      <c r="H1315">
        <v>32</v>
      </c>
    </row>
    <row r="1316" spans="1:8" x14ac:dyDescent="0.2">
      <c r="A1316" s="1">
        <v>40728</v>
      </c>
      <c r="B1316">
        <v>11</v>
      </c>
      <c r="C1316">
        <v>13</v>
      </c>
      <c r="D1316">
        <v>19</v>
      </c>
      <c r="E1316">
        <v>33</v>
      </c>
      <c r="F1316">
        <v>37</v>
      </c>
      <c r="G1316">
        <v>42</v>
      </c>
      <c r="H1316">
        <v>17</v>
      </c>
    </row>
    <row r="1317" spans="1:8" x14ac:dyDescent="0.2">
      <c r="A1317" s="1">
        <v>40724</v>
      </c>
      <c r="B1317">
        <v>4</v>
      </c>
      <c r="C1317">
        <v>17</v>
      </c>
      <c r="D1317">
        <v>30</v>
      </c>
      <c r="E1317">
        <v>39</v>
      </c>
      <c r="F1317">
        <v>43</v>
      </c>
      <c r="G1317">
        <v>45</v>
      </c>
      <c r="H1317">
        <v>19</v>
      </c>
    </row>
    <row r="1318" spans="1:8" x14ac:dyDescent="0.2">
      <c r="A1318" s="1">
        <v>40721</v>
      </c>
      <c r="B1318">
        <v>10</v>
      </c>
      <c r="C1318">
        <v>13</v>
      </c>
      <c r="D1318">
        <v>18</v>
      </c>
      <c r="E1318">
        <v>27</v>
      </c>
      <c r="F1318">
        <v>33</v>
      </c>
      <c r="G1318">
        <v>44</v>
      </c>
      <c r="H1318">
        <v>38</v>
      </c>
    </row>
    <row r="1319" spans="1:8" x14ac:dyDescent="0.2">
      <c r="A1319" s="1">
        <v>40717</v>
      </c>
      <c r="B1319">
        <v>3</v>
      </c>
      <c r="C1319">
        <v>4</v>
      </c>
      <c r="D1319">
        <v>7</v>
      </c>
      <c r="E1319">
        <v>17</v>
      </c>
      <c r="F1319">
        <v>21</v>
      </c>
      <c r="G1319">
        <v>39</v>
      </c>
      <c r="H1319">
        <v>12</v>
      </c>
    </row>
    <row r="1320" spans="1:8" x14ac:dyDescent="0.2">
      <c r="A1320" s="1">
        <v>40714</v>
      </c>
      <c r="B1320">
        <v>2</v>
      </c>
      <c r="C1320">
        <v>11</v>
      </c>
      <c r="D1320">
        <v>14</v>
      </c>
      <c r="E1320">
        <v>22</v>
      </c>
      <c r="F1320">
        <v>32</v>
      </c>
      <c r="G1320">
        <v>40</v>
      </c>
      <c r="H1320">
        <v>42</v>
      </c>
    </row>
    <row r="1321" spans="1:8" x14ac:dyDescent="0.2">
      <c r="A1321" s="1">
        <v>40710</v>
      </c>
      <c r="B1321">
        <v>10</v>
      </c>
      <c r="C1321">
        <v>17</v>
      </c>
      <c r="D1321">
        <v>29</v>
      </c>
      <c r="E1321">
        <v>30</v>
      </c>
      <c r="F1321">
        <v>40</v>
      </c>
      <c r="G1321">
        <v>42</v>
      </c>
      <c r="H1321">
        <v>26</v>
      </c>
    </row>
    <row r="1322" spans="1:8" x14ac:dyDescent="0.2">
      <c r="A1322" s="1">
        <v>40707</v>
      </c>
      <c r="B1322">
        <v>17</v>
      </c>
      <c r="C1322">
        <v>18</v>
      </c>
      <c r="D1322">
        <v>24</v>
      </c>
      <c r="E1322">
        <v>27</v>
      </c>
      <c r="F1322">
        <v>41</v>
      </c>
      <c r="G1322">
        <v>43</v>
      </c>
      <c r="H1322">
        <v>12</v>
      </c>
    </row>
    <row r="1323" spans="1:8" x14ac:dyDescent="0.2">
      <c r="A1323" s="1">
        <v>40703</v>
      </c>
      <c r="B1323">
        <v>8</v>
      </c>
      <c r="C1323">
        <v>9</v>
      </c>
      <c r="D1323">
        <v>17</v>
      </c>
      <c r="E1323">
        <v>28</v>
      </c>
      <c r="F1323">
        <v>29</v>
      </c>
      <c r="G1323">
        <v>31</v>
      </c>
      <c r="H1323">
        <v>26</v>
      </c>
    </row>
    <row r="1324" spans="1:8" x14ac:dyDescent="0.2">
      <c r="A1324" s="1">
        <v>40700</v>
      </c>
      <c r="B1324">
        <v>2</v>
      </c>
      <c r="C1324">
        <v>8</v>
      </c>
      <c r="D1324">
        <v>13</v>
      </c>
      <c r="E1324">
        <v>21</v>
      </c>
      <c r="F1324">
        <v>28</v>
      </c>
      <c r="G1324">
        <v>37</v>
      </c>
      <c r="H1324">
        <v>24</v>
      </c>
    </row>
    <row r="1325" spans="1:8" x14ac:dyDescent="0.2">
      <c r="A1325" s="1">
        <v>40696</v>
      </c>
      <c r="B1325">
        <v>1</v>
      </c>
      <c r="C1325">
        <v>2</v>
      </c>
      <c r="D1325">
        <v>3</v>
      </c>
      <c r="E1325">
        <v>15</v>
      </c>
      <c r="F1325">
        <v>31</v>
      </c>
      <c r="G1325">
        <v>42</v>
      </c>
      <c r="H1325">
        <v>10</v>
      </c>
    </row>
    <row r="1326" spans="1:8" x14ac:dyDescent="0.2">
      <c r="A1326" s="1">
        <v>40693</v>
      </c>
      <c r="B1326">
        <v>14</v>
      </c>
      <c r="C1326">
        <v>17</v>
      </c>
      <c r="D1326">
        <v>19</v>
      </c>
      <c r="E1326">
        <v>28</v>
      </c>
      <c r="F1326">
        <v>37</v>
      </c>
      <c r="G1326">
        <v>44</v>
      </c>
      <c r="H1326">
        <v>7</v>
      </c>
    </row>
    <row r="1327" spans="1:8" x14ac:dyDescent="0.2">
      <c r="A1327" s="1">
        <v>40689</v>
      </c>
      <c r="B1327">
        <v>2</v>
      </c>
      <c r="C1327">
        <v>5</v>
      </c>
      <c r="D1327">
        <v>6</v>
      </c>
      <c r="E1327">
        <v>14</v>
      </c>
      <c r="F1327">
        <v>40</v>
      </c>
      <c r="G1327">
        <v>44</v>
      </c>
      <c r="H1327">
        <v>28</v>
      </c>
    </row>
    <row r="1328" spans="1:8" x14ac:dyDescent="0.2">
      <c r="A1328" s="1">
        <v>40686</v>
      </c>
      <c r="B1328">
        <v>1</v>
      </c>
      <c r="C1328">
        <v>12</v>
      </c>
      <c r="D1328">
        <v>14</v>
      </c>
      <c r="E1328">
        <v>21</v>
      </c>
      <c r="F1328">
        <v>26</v>
      </c>
      <c r="G1328">
        <v>37</v>
      </c>
      <c r="H1328">
        <v>17</v>
      </c>
    </row>
    <row r="1329" spans="1:8" x14ac:dyDescent="0.2">
      <c r="A1329" s="1">
        <v>40682</v>
      </c>
      <c r="B1329">
        <v>6</v>
      </c>
      <c r="C1329">
        <v>22</v>
      </c>
      <c r="D1329">
        <v>23</v>
      </c>
      <c r="E1329">
        <v>26</v>
      </c>
      <c r="F1329">
        <v>27</v>
      </c>
      <c r="G1329">
        <v>31</v>
      </c>
      <c r="H1329">
        <v>3</v>
      </c>
    </row>
    <row r="1330" spans="1:8" x14ac:dyDescent="0.2">
      <c r="A1330" s="1">
        <v>40679</v>
      </c>
      <c r="B1330">
        <v>16</v>
      </c>
      <c r="C1330">
        <v>18</v>
      </c>
      <c r="D1330">
        <v>22</v>
      </c>
      <c r="E1330">
        <v>27</v>
      </c>
      <c r="F1330">
        <v>35</v>
      </c>
      <c r="G1330">
        <v>36</v>
      </c>
      <c r="H1330">
        <v>11</v>
      </c>
    </row>
    <row r="1331" spans="1:8" x14ac:dyDescent="0.2">
      <c r="A1331" s="1">
        <v>40675</v>
      </c>
      <c r="B1331">
        <v>7</v>
      </c>
      <c r="C1331">
        <v>19</v>
      </c>
      <c r="D1331">
        <v>23</v>
      </c>
      <c r="E1331">
        <v>26</v>
      </c>
      <c r="F1331">
        <v>29</v>
      </c>
      <c r="G1331">
        <v>31</v>
      </c>
      <c r="H1331">
        <v>38</v>
      </c>
    </row>
    <row r="1332" spans="1:8" x14ac:dyDescent="0.2">
      <c r="A1332" s="1">
        <v>40672</v>
      </c>
      <c r="B1332">
        <v>6</v>
      </c>
      <c r="C1332">
        <v>14</v>
      </c>
      <c r="D1332">
        <v>16</v>
      </c>
      <c r="E1332">
        <v>19</v>
      </c>
      <c r="F1332">
        <v>39</v>
      </c>
      <c r="G1332">
        <v>42</v>
      </c>
      <c r="H1332">
        <v>26</v>
      </c>
    </row>
    <row r="1333" spans="1:8" x14ac:dyDescent="0.2">
      <c r="A1333" s="1">
        <v>40668</v>
      </c>
      <c r="B1333">
        <v>10</v>
      </c>
      <c r="C1333">
        <v>26</v>
      </c>
      <c r="D1333">
        <v>29</v>
      </c>
      <c r="E1333">
        <v>34</v>
      </c>
      <c r="F1333">
        <v>35</v>
      </c>
      <c r="G1333">
        <v>41</v>
      </c>
      <c r="H1333">
        <v>22</v>
      </c>
    </row>
    <row r="1334" spans="1:8" x14ac:dyDescent="0.2">
      <c r="A1334" s="1">
        <v>40665</v>
      </c>
      <c r="B1334">
        <v>3</v>
      </c>
      <c r="C1334">
        <v>12</v>
      </c>
      <c r="D1334">
        <v>15</v>
      </c>
      <c r="E1334">
        <v>28</v>
      </c>
      <c r="F1334">
        <v>29</v>
      </c>
      <c r="G1334">
        <v>41</v>
      </c>
      <c r="H1334">
        <v>4</v>
      </c>
    </row>
    <row r="1335" spans="1:8" x14ac:dyDescent="0.2">
      <c r="A1335" s="1">
        <v>40661</v>
      </c>
      <c r="B1335">
        <v>12</v>
      </c>
      <c r="C1335">
        <v>13</v>
      </c>
      <c r="D1335">
        <v>16</v>
      </c>
      <c r="E1335">
        <v>21</v>
      </c>
      <c r="F1335">
        <v>28</v>
      </c>
      <c r="G1335">
        <v>39</v>
      </c>
      <c r="H1335">
        <v>2</v>
      </c>
    </row>
    <row r="1336" spans="1:8" x14ac:dyDescent="0.2">
      <c r="A1336" s="1">
        <v>40658</v>
      </c>
      <c r="B1336">
        <v>2</v>
      </c>
      <c r="C1336">
        <v>21</v>
      </c>
      <c r="D1336">
        <v>23</v>
      </c>
      <c r="E1336">
        <v>25</v>
      </c>
      <c r="F1336">
        <v>27</v>
      </c>
      <c r="G1336">
        <v>44</v>
      </c>
      <c r="H1336">
        <v>43</v>
      </c>
    </row>
    <row r="1337" spans="1:8" x14ac:dyDescent="0.2">
      <c r="A1337" s="1">
        <v>40654</v>
      </c>
      <c r="B1337">
        <v>24</v>
      </c>
      <c r="C1337">
        <v>25</v>
      </c>
      <c r="D1337">
        <v>32</v>
      </c>
      <c r="E1337">
        <v>38</v>
      </c>
      <c r="F1337">
        <v>39</v>
      </c>
      <c r="G1337">
        <v>43</v>
      </c>
      <c r="H1337">
        <v>2</v>
      </c>
    </row>
    <row r="1338" spans="1:8" x14ac:dyDescent="0.2">
      <c r="A1338" s="1">
        <v>40651</v>
      </c>
      <c r="B1338">
        <v>2</v>
      </c>
      <c r="C1338">
        <v>7</v>
      </c>
      <c r="D1338">
        <v>10</v>
      </c>
      <c r="E1338">
        <v>16</v>
      </c>
      <c r="F1338">
        <v>29</v>
      </c>
      <c r="G1338">
        <v>32</v>
      </c>
      <c r="H1338">
        <v>18</v>
      </c>
    </row>
    <row r="1339" spans="1:8" x14ac:dyDescent="0.2">
      <c r="A1339" s="1">
        <v>40647</v>
      </c>
      <c r="B1339">
        <v>6</v>
      </c>
      <c r="C1339">
        <v>10</v>
      </c>
      <c r="D1339">
        <v>17</v>
      </c>
      <c r="E1339">
        <v>29</v>
      </c>
      <c r="F1339">
        <v>33</v>
      </c>
      <c r="G1339">
        <v>44</v>
      </c>
      <c r="H1339">
        <v>9</v>
      </c>
    </row>
    <row r="1340" spans="1:8" x14ac:dyDescent="0.2">
      <c r="A1340" s="1">
        <v>40644</v>
      </c>
      <c r="B1340">
        <v>9</v>
      </c>
      <c r="C1340">
        <v>15</v>
      </c>
      <c r="D1340">
        <v>27</v>
      </c>
      <c r="E1340">
        <v>28</v>
      </c>
      <c r="F1340">
        <v>30</v>
      </c>
      <c r="G1340">
        <v>40</v>
      </c>
      <c r="H1340">
        <v>12</v>
      </c>
    </row>
    <row r="1341" spans="1:8" x14ac:dyDescent="0.2">
      <c r="A1341" s="1">
        <v>40640</v>
      </c>
      <c r="B1341">
        <v>16</v>
      </c>
      <c r="C1341">
        <v>22</v>
      </c>
      <c r="D1341">
        <v>23</v>
      </c>
      <c r="E1341">
        <v>25</v>
      </c>
      <c r="F1341">
        <v>28</v>
      </c>
      <c r="G1341">
        <v>43</v>
      </c>
      <c r="H1341">
        <v>37</v>
      </c>
    </row>
    <row r="1342" spans="1:8" x14ac:dyDescent="0.2">
      <c r="A1342" s="1">
        <v>40637</v>
      </c>
      <c r="B1342">
        <v>3</v>
      </c>
      <c r="C1342">
        <v>4</v>
      </c>
      <c r="D1342">
        <v>9</v>
      </c>
      <c r="E1342">
        <v>22</v>
      </c>
      <c r="F1342">
        <v>35</v>
      </c>
      <c r="G1342">
        <v>45</v>
      </c>
      <c r="H1342">
        <v>44</v>
      </c>
    </row>
    <row r="1343" spans="1:8" x14ac:dyDescent="0.2">
      <c r="A1343" s="1">
        <v>40633</v>
      </c>
      <c r="B1343">
        <v>3</v>
      </c>
      <c r="C1343">
        <v>9</v>
      </c>
      <c r="D1343">
        <v>13</v>
      </c>
      <c r="E1343">
        <v>14</v>
      </c>
      <c r="F1343">
        <v>27</v>
      </c>
      <c r="G1343">
        <v>34</v>
      </c>
      <c r="H1343">
        <v>7</v>
      </c>
    </row>
    <row r="1344" spans="1:8" x14ac:dyDescent="0.2">
      <c r="A1344" s="1">
        <v>40630</v>
      </c>
      <c r="B1344">
        <v>11</v>
      </c>
      <c r="C1344">
        <v>16</v>
      </c>
      <c r="D1344">
        <v>23</v>
      </c>
      <c r="E1344">
        <v>29</v>
      </c>
      <c r="F1344">
        <v>30</v>
      </c>
      <c r="G1344">
        <v>35</v>
      </c>
      <c r="H1344">
        <v>40</v>
      </c>
    </row>
    <row r="1345" spans="1:8" x14ac:dyDescent="0.2">
      <c r="A1345" s="1">
        <v>40626</v>
      </c>
      <c r="B1345">
        <v>7</v>
      </c>
      <c r="C1345">
        <v>17</v>
      </c>
      <c r="D1345">
        <v>23</v>
      </c>
      <c r="E1345">
        <v>24</v>
      </c>
      <c r="F1345">
        <v>26</v>
      </c>
      <c r="G1345">
        <v>28</v>
      </c>
      <c r="H1345">
        <v>18</v>
      </c>
    </row>
    <row r="1346" spans="1:8" x14ac:dyDescent="0.2">
      <c r="A1346" s="1">
        <v>40623</v>
      </c>
      <c r="B1346">
        <v>7</v>
      </c>
      <c r="C1346">
        <v>29</v>
      </c>
      <c r="D1346">
        <v>31</v>
      </c>
      <c r="E1346">
        <v>32</v>
      </c>
      <c r="F1346">
        <v>38</v>
      </c>
      <c r="G1346">
        <v>45</v>
      </c>
      <c r="H1346">
        <v>3</v>
      </c>
    </row>
    <row r="1347" spans="1:8" x14ac:dyDescent="0.2">
      <c r="A1347" s="1">
        <v>40619</v>
      </c>
      <c r="B1347">
        <v>2</v>
      </c>
      <c r="C1347">
        <v>5</v>
      </c>
      <c r="D1347">
        <v>22</v>
      </c>
      <c r="E1347">
        <v>29</v>
      </c>
      <c r="F1347">
        <v>33</v>
      </c>
      <c r="G1347">
        <v>36</v>
      </c>
      <c r="H1347">
        <v>4</v>
      </c>
    </row>
    <row r="1348" spans="1:8" x14ac:dyDescent="0.2">
      <c r="A1348" s="1">
        <v>40616</v>
      </c>
      <c r="B1348">
        <v>22</v>
      </c>
      <c r="C1348">
        <v>23</v>
      </c>
      <c r="D1348">
        <v>24</v>
      </c>
      <c r="E1348">
        <v>32</v>
      </c>
      <c r="F1348">
        <v>35</v>
      </c>
      <c r="G1348">
        <v>38</v>
      </c>
      <c r="H1348">
        <v>2</v>
      </c>
    </row>
    <row r="1349" spans="1:8" x14ac:dyDescent="0.2">
      <c r="A1349" s="1">
        <v>40612</v>
      </c>
      <c r="B1349">
        <v>8</v>
      </c>
      <c r="C1349">
        <v>19</v>
      </c>
      <c r="D1349">
        <v>22</v>
      </c>
      <c r="E1349">
        <v>24</v>
      </c>
      <c r="F1349">
        <v>39</v>
      </c>
      <c r="G1349">
        <v>40</v>
      </c>
      <c r="H1349">
        <v>2</v>
      </c>
    </row>
    <row r="1350" spans="1:8" x14ac:dyDescent="0.2">
      <c r="A1350" s="1">
        <v>40609</v>
      </c>
      <c r="B1350">
        <v>16</v>
      </c>
      <c r="C1350">
        <v>17</v>
      </c>
      <c r="D1350">
        <v>19</v>
      </c>
      <c r="E1350">
        <v>28</v>
      </c>
      <c r="F1350">
        <v>36</v>
      </c>
      <c r="G1350">
        <v>41</v>
      </c>
      <c r="H1350">
        <v>8</v>
      </c>
    </row>
    <row r="1351" spans="1:8" x14ac:dyDescent="0.2">
      <c r="A1351" s="1">
        <v>40605</v>
      </c>
      <c r="B1351">
        <v>1</v>
      </c>
      <c r="C1351">
        <v>6</v>
      </c>
      <c r="D1351">
        <v>10</v>
      </c>
      <c r="E1351">
        <v>31</v>
      </c>
      <c r="F1351">
        <v>32</v>
      </c>
      <c r="G1351">
        <v>45</v>
      </c>
      <c r="H1351">
        <v>43</v>
      </c>
    </row>
    <row r="1352" spans="1:8" x14ac:dyDescent="0.2">
      <c r="A1352" s="1">
        <v>40602</v>
      </c>
      <c r="B1352">
        <v>8</v>
      </c>
      <c r="C1352">
        <v>9</v>
      </c>
      <c r="D1352">
        <v>11</v>
      </c>
      <c r="E1352">
        <v>30</v>
      </c>
      <c r="F1352">
        <v>41</v>
      </c>
      <c r="G1352">
        <v>43</v>
      </c>
      <c r="H1352">
        <v>36</v>
      </c>
    </row>
    <row r="1353" spans="1:8" x14ac:dyDescent="0.2">
      <c r="A1353" s="1">
        <v>40598</v>
      </c>
      <c r="B1353">
        <v>7</v>
      </c>
      <c r="C1353">
        <v>10</v>
      </c>
      <c r="D1353">
        <v>13</v>
      </c>
      <c r="E1353">
        <v>17</v>
      </c>
      <c r="F1353">
        <v>36</v>
      </c>
      <c r="G1353">
        <v>45</v>
      </c>
      <c r="H1353">
        <v>16</v>
      </c>
    </row>
    <row r="1354" spans="1:8" x14ac:dyDescent="0.2">
      <c r="A1354" s="1">
        <v>40595</v>
      </c>
      <c r="B1354">
        <v>6</v>
      </c>
      <c r="C1354">
        <v>7</v>
      </c>
      <c r="D1354">
        <v>16</v>
      </c>
      <c r="E1354">
        <v>20</v>
      </c>
      <c r="F1354">
        <v>28</v>
      </c>
      <c r="G1354">
        <v>30</v>
      </c>
      <c r="H1354">
        <v>26</v>
      </c>
    </row>
    <row r="1355" spans="1:8" x14ac:dyDescent="0.2">
      <c r="A1355" s="1">
        <v>40592</v>
      </c>
      <c r="B1355">
        <v>18</v>
      </c>
      <c r="C1355">
        <v>20</v>
      </c>
      <c r="D1355">
        <v>27</v>
      </c>
      <c r="E1355">
        <v>34</v>
      </c>
      <c r="F1355">
        <v>35</v>
      </c>
      <c r="G1355">
        <v>41</v>
      </c>
      <c r="H1355">
        <v>1</v>
      </c>
    </row>
    <row r="1356" spans="1:8" x14ac:dyDescent="0.2">
      <c r="A1356" s="1">
        <v>40588</v>
      </c>
      <c r="B1356">
        <v>1</v>
      </c>
      <c r="C1356">
        <v>13</v>
      </c>
      <c r="D1356">
        <v>16</v>
      </c>
      <c r="E1356">
        <v>30</v>
      </c>
      <c r="F1356">
        <v>38</v>
      </c>
      <c r="G1356">
        <v>39</v>
      </c>
      <c r="H1356">
        <v>24</v>
      </c>
    </row>
    <row r="1357" spans="1:8" x14ac:dyDescent="0.2">
      <c r="A1357" s="1">
        <v>40584</v>
      </c>
      <c r="B1357">
        <v>6</v>
      </c>
      <c r="C1357">
        <v>9</v>
      </c>
      <c r="D1357">
        <v>18</v>
      </c>
      <c r="E1357">
        <v>26</v>
      </c>
      <c r="F1357">
        <v>37</v>
      </c>
      <c r="G1357">
        <v>38</v>
      </c>
      <c r="H1357">
        <v>8</v>
      </c>
    </row>
    <row r="1358" spans="1:8" x14ac:dyDescent="0.2">
      <c r="A1358" s="1">
        <v>40581</v>
      </c>
      <c r="B1358">
        <v>3</v>
      </c>
      <c r="C1358">
        <v>4</v>
      </c>
      <c r="D1358">
        <v>12</v>
      </c>
      <c r="E1358">
        <v>24</v>
      </c>
      <c r="F1358">
        <v>26</v>
      </c>
      <c r="G1358">
        <v>44</v>
      </c>
      <c r="H1358">
        <v>1</v>
      </c>
    </row>
    <row r="1359" spans="1:8" x14ac:dyDescent="0.2">
      <c r="A1359" s="1">
        <v>40577</v>
      </c>
      <c r="B1359">
        <v>2</v>
      </c>
      <c r="C1359">
        <v>4</v>
      </c>
      <c r="D1359">
        <v>13</v>
      </c>
      <c r="E1359">
        <v>24</v>
      </c>
      <c r="F1359">
        <v>26</v>
      </c>
      <c r="G1359">
        <v>39</v>
      </c>
      <c r="H1359">
        <v>14</v>
      </c>
    </row>
    <row r="1360" spans="1:8" x14ac:dyDescent="0.2">
      <c r="A1360" s="1">
        <v>40574</v>
      </c>
      <c r="B1360">
        <v>6</v>
      </c>
      <c r="C1360">
        <v>9</v>
      </c>
      <c r="D1360">
        <v>19</v>
      </c>
      <c r="E1360">
        <v>22</v>
      </c>
      <c r="F1360">
        <v>39</v>
      </c>
      <c r="G1360">
        <v>43</v>
      </c>
      <c r="H1360">
        <v>27</v>
      </c>
    </row>
    <row r="1361" spans="1:8" x14ac:dyDescent="0.2">
      <c r="A1361" s="1">
        <v>40571</v>
      </c>
      <c r="B1361">
        <v>5</v>
      </c>
      <c r="C1361">
        <v>17</v>
      </c>
      <c r="D1361">
        <v>18</v>
      </c>
      <c r="E1361">
        <v>20</v>
      </c>
      <c r="F1361">
        <v>24</v>
      </c>
      <c r="G1361">
        <v>38</v>
      </c>
      <c r="H1361">
        <v>7</v>
      </c>
    </row>
    <row r="1362" spans="1:8" x14ac:dyDescent="0.2">
      <c r="A1362" s="1">
        <v>40567</v>
      </c>
      <c r="B1362">
        <v>9</v>
      </c>
      <c r="C1362">
        <v>15</v>
      </c>
      <c r="D1362">
        <v>23</v>
      </c>
      <c r="E1362">
        <v>28</v>
      </c>
      <c r="F1362">
        <v>32</v>
      </c>
      <c r="G1362">
        <v>40</v>
      </c>
      <c r="H1362">
        <v>41</v>
      </c>
    </row>
    <row r="1363" spans="1:8" x14ac:dyDescent="0.2">
      <c r="A1363" s="1">
        <v>40563</v>
      </c>
      <c r="B1363">
        <v>11</v>
      </c>
      <c r="C1363">
        <v>14</v>
      </c>
      <c r="D1363">
        <v>15</v>
      </c>
      <c r="E1363">
        <v>23</v>
      </c>
      <c r="F1363">
        <v>24</v>
      </c>
      <c r="G1363">
        <v>28</v>
      </c>
      <c r="H1363">
        <v>2</v>
      </c>
    </row>
    <row r="1364" spans="1:8" x14ac:dyDescent="0.2">
      <c r="A1364" s="1">
        <v>40560</v>
      </c>
      <c r="B1364">
        <v>17</v>
      </c>
      <c r="C1364">
        <v>22</v>
      </c>
      <c r="D1364">
        <v>32</v>
      </c>
      <c r="E1364">
        <v>36</v>
      </c>
      <c r="F1364">
        <v>41</v>
      </c>
      <c r="G1364">
        <v>45</v>
      </c>
      <c r="H1364">
        <v>4</v>
      </c>
    </row>
    <row r="1365" spans="1:8" x14ac:dyDescent="0.2">
      <c r="A1365" s="1">
        <v>40556</v>
      </c>
      <c r="B1365">
        <v>6</v>
      </c>
      <c r="C1365">
        <v>7</v>
      </c>
      <c r="D1365">
        <v>23</v>
      </c>
      <c r="E1365">
        <v>34</v>
      </c>
      <c r="F1365">
        <v>36</v>
      </c>
      <c r="G1365">
        <v>41</v>
      </c>
      <c r="H1365">
        <v>10</v>
      </c>
    </row>
    <row r="1366" spans="1:8" x14ac:dyDescent="0.2">
      <c r="A1366" s="1">
        <v>40553</v>
      </c>
      <c r="B1366">
        <v>4</v>
      </c>
      <c r="C1366">
        <v>9</v>
      </c>
      <c r="D1366">
        <v>20</v>
      </c>
      <c r="E1366">
        <v>27</v>
      </c>
      <c r="F1366">
        <v>28</v>
      </c>
      <c r="G1366">
        <v>29</v>
      </c>
      <c r="H1366">
        <v>16</v>
      </c>
    </row>
    <row r="1367" spans="1:8" x14ac:dyDescent="0.2">
      <c r="A1367" s="1">
        <v>40549</v>
      </c>
      <c r="B1367">
        <v>9</v>
      </c>
      <c r="C1367">
        <v>12</v>
      </c>
      <c r="D1367">
        <v>25</v>
      </c>
      <c r="E1367">
        <v>30</v>
      </c>
      <c r="F1367">
        <v>31</v>
      </c>
      <c r="G1367">
        <v>34</v>
      </c>
      <c r="H1367">
        <v>27</v>
      </c>
    </row>
    <row r="1368" spans="1:8" x14ac:dyDescent="0.2">
      <c r="A1368" s="1">
        <v>40546</v>
      </c>
      <c r="B1368">
        <v>5</v>
      </c>
      <c r="C1368">
        <v>6</v>
      </c>
      <c r="D1368">
        <v>18</v>
      </c>
      <c r="E1368">
        <v>21</v>
      </c>
      <c r="F1368">
        <v>23</v>
      </c>
      <c r="G1368">
        <v>30</v>
      </c>
      <c r="H1368">
        <v>37</v>
      </c>
    </row>
    <row r="1369" spans="1:8" x14ac:dyDescent="0.2">
      <c r="A1369" s="1">
        <v>40542</v>
      </c>
      <c r="B1369">
        <v>6</v>
      </c>
      <c r="C1369">
        <v>10</v>
      </c>
      <c r="D1369">
        <v>15</v>
      </c>
      <c r="E1369">
        <v>21</v>
      </c>
      <c r="F1369">
        <v>22</v>
      </c>
      <c r="G1369">
        <v>32</v>
      </c>
      <c r="H1369">
        <v>30</v>
      </c>
    </row>
    <row r="1370" spans="1:8" x14ac:dyDescent="0.2">
      <c r="A1370" s="1">
        <v>40539</v>
      </c>
      <c r="B1370">
        <v>4</v>
      </c>
      <c r="C1370">
        <v>7</v>
      </c>
      <c r="D1370">
        <v>9</v>
      </c>
      <c r="E1370">
        <v>11</v>
      </c>
      <c r="F1370">
        <v>14</v>
      </c>
      <c r="G1370">
        <v>20</v>
      </c>
      <c r="H1370">
        <v>16</v>
      </c>
    </row>
    <row r="1371" spans="1:8" x14ac:dyDescent="0.2">
      <c r="A1371" s="1">
        <v>40535</v>
      </c>
      <c r="B1371">
        <v>10</v>
      </c>
      <c r="C1371">
        <v>11</v>
      </c>
      <c r="D1371">
        <v>15</v>
      </c>
      <c r="E1371">
        <v>21</v>
      </c>
      <c r="F1371">
        <v>39</v>
      </c>
      <c r="G1371">
        <v>44</v>
      </c>
      <c r="H1371">
        <v>38</v>
      </c>
    </row>
    <row r="1372" spans="1:8" x14ac:dyDescent="0.2">
      <c r="A1372" s="1">
        <v>40532</v>
      </c>
      <c r="B1372">
        <v>6</v>
      </c>
      <c r="C1372">
        <v>13</v>
      </c>
      <c r="D1372">
        <v>20</v>
      </c>
      <c r="E1372">
        <v>30</v>
      </c>
      <c r="F1372">
        <v>31</v>
      </c>
      <c r="G1372">
        <v>32</v>
      </c>
      <c r="H1372">
        <v>5</v>
      </c>
    </row>
    <row r="1373" spans="1:8" x14ac:dyDescent="0.2">
      <c r="A1373" s="1">
        <v>40528</v>
      </c>
      <c r="B1373">
        <v>6</v>
      </c>
      <c r="C1373">
        <v>30</v>
      </c>
      <c r="D1373">
        <v>35</v>
      </c>
      <c r="E1373">
        <v>36</v>
      </c>
      <c r="F1373">
        <v>41</v>
      </c>
      <c r="G1373">
        <v>45</v>
      </c>
      <c r="H1373">
        <v>26</v>
      </c>
    </row>
    <row r="1374" spans="1:8" x14ac:dyDescent="0.2">
      <c r="A1374" s="1">
        <v>40525</v>
      </c>
      <c r="B1374">
        <v>6</v>
      </c>
      <c r="C1374">
        <v>12</v>
      </c>
      <c r="D1374">
        <v>17</v>
      </c>
      <c r="E1374">
        <v>27</v>
      </c>
      <c r="F1374">
        <v>34</v>
      </c>
      <c r="G1374">
        <v>43</v>
      </c>
      <c r="H1374">
        <v>9</v>
      </c>
    </row>
    <row r="1375" spans="1:8" x14ac:dyDescent="0.2">
      <c r="A1375" s="1">
        <v>40521</v>
      </c>
      <c r="B1375">
        <v>11</v>
      </c>
      <c r="C1375">
        <v>26</v>
      </c>
      <c r="D1375">
        <v>30</v>
      </c>
      <c r="E1375">
        <v>32</v>
      </c>
      <c r="F1375">
        <v>41</v>
      </c>
      <c r="G1375">
        <v>43</v>
      </c>
      <c r="H1375">
        <v>40</v>
      </c>
    </row>
    <row r="1376" spans="1:8" x14ac:dyDescent="0.2">
      <c r="A1376" s="1">
        <v>40518</v>
      </c>
      <c r="B1376">
        <v>1</v>
      </c>
      <c r="C1376">
        <v>6</v>
      </c>
      <c r="D1376">
        <v>11</v>
      </c>
      <c r="E1376">
        <v>20</v>
      </c>
      <c r="F1376">
        <v>24</v>
      </c>
      <c r="G1376">
        <v>34</v>
      </c>
      <c r="H1376">
        <v>2</v>
      </c>
    </row>
    <row r="1377" spans="1:8" x14ac:dyDescent="0.2">
      <c r="A1377" s="1">
        <v>40514</v>
      </c>
      <c r="B1377">
        <v>4</v>
      </c>
      <c r="C1377">
        <v>7</v>
      </c>
      <c r="D1377">
        <v>24</v>
      </c>
      <c r="E1377">
        <v>25</v>
      </c>
      <c r="F1377">
        <v>35</v>
      </c>
      <c r="G1377">
        <v>36</v>
      </c>
      <c r="H1377">
        <v>13</v>
      </c>
    </row>
    <row r="1378" spans="1:8" x14ac:dyDescent="0.2">
      <c r="A1378" s="1">
        <v>40511</v>
      </c>
      <c r="B1378">
        <v>11</v>
      </c>
      <c r="C1378">
        <v>13</v>
      </c>
      <c r="D1378">
        <v>17</v>
      </c>
      <c r="E1378">
        <v>23</v>
      </c>
      <c r="F1378">
        <v>39</v>
      </c>
      <c r="G1378">
        <v>40</v>
      </c>
      <c r="H1378">
        <v>4</v>
      </c>
    </row>
    <row r="1379" spans="1:8" x14ac:dyDescent="0.2">
      <c r="A1379" s="1">
        <v>40507</v>
      </c>
      <c r="B1379">
        <v>9</v>
      </c>
      <c r="C1379">
        <v>11</v>
      </c>
      <c r="D1379">
        <v>14</v>
      </c>
      <c r="E1379">
        <v>23</v>
      </c>
      <c r="F1379">
        <v>33</v>
      </c>
      <c r="G1379">
        <v>35</v>
      </c>
      <c r="H1379">
        <v>15</v>
      </c>
    </row>
    <row r="1380" spans="1:8" x14ac:dyDescent="0.2">
      <c r="A1380" s="1">
        <v>40504</v>
      </c>
      <c r="B1380">
        <v>8</v>
      </c>
      <c r="C1380">
        <v>12</v>
      </c>
      <c r="D1380">
        <v>13</v>
      </c>
      <c r="E1380">
        <v>21</v>
      </c>
      <c r="F1380">
        <v>27</v>
      </c>
      <c r="G1380">
        <v>38</v>
      </c>
      <c r="H1380">
        <v>45</v>
      </c>
    </row>
    <row r="1381" spans="1:8" x14ac:dyDescent="0.2">
      <c r="A1381" s="1">
        <v>40500</v>
      </c>
      <c r="B1381">
        <v>3</v>
      </c>
      <c r="C1381">
        <v>7</v>
      </c>
      <c r="D1381">
        <v>10</v>
      </c>
      <c r="E1381">
        <v>31</v>
      </c>
      <c r="F1381">
        <v>36</v>
      </c>
      <c r="G1381">
        <v>43</v>
      </c>
      <c r="H1381">
        <v>25</v>
      </c>
    </row>
    <row r="1382" spans="1:8" x14ac:dyDescent="0.2">
      <c r="A1382" s="1">
        <v>40497</v>
      </c>
      <c r="B1382">
        <v>3</v>
      </c>
      <c r="C1382">
        <v>8</v>
      </c>
      <c r="D1382">
        <v>29</v>
      </c>
      <c r="E1382">
        <v>32</v>
      </c>
      <c r="F1382">
        <v>35</v>
      </c>
      <c r="G1382">
        <v>39</v>
      </c>
      <c r="H1382">
        <v>24</v>
      </c>
    </row>
    <row r="1383" spans="1:8" x14ac:dyDescent="0.2">
      <c r="A1383" s="1">
        <v>40493</v>
      </c>
      <c r="B1383">
        <v>10</v>
      </c>
      <c r="C1383">
        <v>20</v>
      </c>
      <c r="D1383">
        <v>27</v>
      </c>
      <c r="E1383">
        <v>34</v>
      </c>
      <c r="F1383">
        <v>39</v>
      </c>
      <c r="G1383">
        <v>45</v>
      </c>
      <c r="H1383">
        <v>25</v>
      </c>
    </row>
    <row r="1384" spans="1:8" x14ac:dyDescent="0.2">
      <c r="A1384" s="1">
        <v>40490</v>
      </c>
      <c r="B1384">
        <v>13</v>
      </c>
      <c r="C1384">
        <v>17</v>
      </c>
      <c r="D1384">
        <v>18</v>
      </c>
      <c r="E1384">
        <v>20</v>
      </c>
      <c r="F1384">
        <v>34</v>
      </c>
      <c r="G1384">
        <v>39</v>
      </c>
      <c r="H1384">
        <v>14</v>
      </c>
    </row>
    <row r="1385" spans="1:8" x14ac:dyDescent="0.2">
      <c r="A1385" s="1">
        <v>40486</v>
      </c>
      <c r="B1385">
        <v>6</v>
      </c>
      <c r="C1385">
        <v>9</v>
      </c>
      <c r="D1385">
        <v>11</v>
      </c>
      <c r="E1385">
        <v>17</v>
      </c>
      <c r="F1385">
        <v>41</v>
      </c>
      <c r="G1385">
        <v>43</v>
      </c>
      <c r="H1385">
        <v>27</v>
      </c>
    </row>
    <row r="1386" spans="1:8" x14ac:dyDescent="0.2">
      <c r="A1386" s="1">
        <v>40483</v>
      </c>
      <c r="B1386">
        <v>18</v>
      </c>
      <c r="C1386">
        <v>19</v>
      </c>
      <c r="D1386">
        <v>21</v>
      </c>
      <c r="E1386">
        <v>27</v>
      </c>
      <c r="F1386">
        <v>30</v>
      </c>
      <c r="G1386">
        <v>34</v>
      </c>
      <c r="H1386">
        <v>37</v>
      </c>
    </row>
    <row r="1387" spans="1:8" x14ac:dyDescent="0.2">
      <c r="A1387" s="1">
        <v>40479</v>
      </c>
      <c r="B1387">
        <v>2</v>
      </c>
      <c r="C1387">
        <v>13</v>
      </c>
      <c r="D1387">
        <v>22</v>
      </c>
      <c r="E1387">
        <v>32</v>
      </c>
      <c r="F1387">
        <v>33</v>
      </c>
      <c r="G1387">
        <v>38</v>
      </c>
      <c r="H1387">
        <v>1</v>
      </c>
    </row>
    <row r="1388" spans="1:8" x14ac:dyDescent="0.2">
      <c r="A1388" s="1">
        <v>40476</v>
      </c>
      <c r="B1388">
        <v>2</v>
      </c>
      <c r="C1388">
        <v>7</v>
      </c>
      <c r="D1388">
        <v>9</v>
      </c>
      <c r="E1388">
        <v>18</v>
      </c>
      <c r="F1388">
        <v>31</v>
      </c>
      <c r="G1388">
        <v>45</v>
      </c>
      <c r="H1388">
        <v>4</v>
      </c>
    </row>
    <row r="1389" spans="1:8" x14ac:dyDescent="0.2">
      <c r="A1389" s="1">
        <v>40472</v>
      </c>
      <c r="B1389">
        <v>7</v>
      </c>
      <c r="C1389">
        <v>15</v>
      </c>
      <c r="D1389">
        <v>17</v>
      </c>
      <c r="E1389">
        <v>18</v>
      </c>
      <c r="F1389">
        <v>25</v>
      </c>
      <c r="G1389">
        <v>27</v>
      </c>
      <c r="H1389">
        <v>2</v>
      </c>
    </row>
    <row r="1390" spans="1:8" x14ac:dyDescent="0.2">
      <c r="A1390" s="1">
        <v>40469</v>
      </c>
      <c r="B1390">
        <v>3</v>
      </c>
      <c r="C1390">
        <v>9</v>
      </c>
      <c r="D1390">
        <v>11</v>
      </c>
      <c r="E1390">
        <v>28</v>
      </c>
      <c r="F1390">
        <v>36</v>
      </c>
      <c r="G1390">
        <v>42</v>
      </c>
      <c r="H1390">
        <v>10</v>
      </c>
    </row>
    <row r="1391" spans="1:8" x14ac:dyDescent="0.2">
      <c r="A1391" s="1">
        <v>40465</v>
      </c>
      <c r="B1391">
        <v>8</v>
      </c>
      <c r="C1391">
        <v>14</v>
      </c>
      <c r="D1391">
        <v>25</v>
      </c>
      <c r="E1391">
        <v>31</v>
      </c>
      <c r="F1391">
        <v>40</v>
      </c>
      <c r="G1391">
        <v>41</v>
      </c>
      <c r="H1391">
        <v>29</v>
      </c>
    </row>
    <row r="1392" spans="1:8" x14ac:dyDescent="0.2">
      <c r="A1392" s="1">
        <v>40462</v>
      </c>
      <c r="B1392">
        <v>2</v>
      </c>
      <c r="C1392">
        <v>5</v>
      </c>
      <c r="D1392">
        <v>18</v>
      </c>
      <c r="E1392">
        <v>23</v>
      </c>
      <c r="F1392">
        <v>24</v>
      </c>
      <c r="G1392">
        <v>36</v>
      </c>
      <c r="H1392">
        <v>17</v>
      </c>
    </row>
    <row r="1393" spans="1:8" x14ac:dyDescent="0.2">
      <c r="A1393" s="1">
        <v>40458</v>
      </c>
      <c r="B1393">
        <v>9</v>
      </c>
      <c r="C1393">
        <v>17</v>
      </c>
      <c r="D1393">
        <v>22</v>
      </c>
      <c r="E1393">
        <v>23</v>
      </c>
      <c r="F1393">
        <v>35</v>
      </c>
      <c r="G1393">
        <v>41</v>
      </c>
      <c r="H1393">
        <v>44</v>
      </c>
    </row>
    <row r="1394" spans="1:8" x14ac:dyDescent="0.2">
      <c r="A1394" s="1">
        <v>40455</v>
      </c>
      <c r="B1394">
        <v>7</v>
      </c>
      <c r="C1394">
        <v>10</v>
      </c>
      <c r="D1394">
        <v>13</v>
      </c>
      <c r="E1394">
        <v>16</v>
      </c>
      <c r="F1394">
        <v>18</v>
      </c>
      <c r="G1394">
        <v>19</v>
      </c>
      <c r="H1394">
        <v>35</v>
      </c>
    </row>
    <row r="1395" spans="1:8" x14ac:dyDescent="0.2">
      <c r="A1395" s="1">
        <v>40451</v>
      </c>
      <c r="B1395">
        <v>8</v>
      </c>
      <c r="C1395">
        <v>16</v>
      </c>
      <c r="D1395">
        <v>17</v>
      </c>
      <c r="E1395">
        <v>25</v>
      </c>
      <c r="F1395">
        <v>26</v>
      </c>
      <c r="G1395">
        <v>43</v>
      </c>
      <c r="H1395">
        <v>45</v>
      </c>
    </row>
    <row r="1396" spans="1:8" x14ac:dyDescent="0.2">
      <c r="A1396" s="1">
        <v>40448</v>
      </c>
      <c r="B1396">
        <v>1</v>
      </c>
      <c r="C1396">
        <v>16</v>
      </c>
      <c r="D1396">
        <v>32</v>
      </c>
      <c r="E1396">
        <v>34</v>
      </c>
      <c r="F1396">
        <v>35</v>
      </c>
      <c r="G1396">
        <v>42</v>
      </c>
      <c r="H1396">
        <v>22</v>
      </c>
    </row>
    <row r="1397" spans="1:8" x14ac:dyDescent="0.2">
      <c r="A1397" s="1">
        <v>40444</v>
      </c>
      <c r="B1397">
        <v>1</v>
      </c>
      <c r="C1397">
        <v>3</v>
      </c>
      <c r="D1397">
        <v>11</v>
      </c>
      <c r="E1397">
        <v>13</v>
      </c>
      <c r="F1397">
        <v>19</v>
      </c>
      <c r="G1397">
        <v>37</v>
      </c>
      <c r="H1397">
        <v>29</v>
      </c>
    </row>
    <row r="1398" spans="1:8" x14ac:dyDescent="0.2">
      <c r="A1398" s="1">
        <v>40441</v>
      </c>
      <c r="B1398">
        <v>10</v>
      </c>
      <c r="C1398">
        <v>23</v>
      </c>
      <c r="D1398">
        <v>28</v>
      </c>
      <c r="E1398">
        <v>34</v>
      </c>
      <c r="F1398">
        <v>38</v>
      </c>
      <c r="G1398">
        <v>42</v>
      </c>
      <c r="H1398">
        <v>32</v>
      </c>
    </row>
    <row r="1399" spans="1:8" x14ac:dyDescent="0.2">
      <c r="A1399" s="1">
        <v>40437</v>
      </c>
      <c r="B1399">
        <v>1</v>
      </c>
      <c r="C1399">
        <v>3</v>
      </c>
      <c r="D1399">
        <v>17</v>
      </c>
      <c r="E1399">
        <v>24</v>
      </c>
      <c r="F1399">
        <v>29</v>
      </c>
      <c r="G1399">
        <v>45</v>
      </c>
      <c r="H1399">
        <v>8</v>
      </c>
    </row>
    <row r="1400" spans="1:8" x14ac:dyDescent="0.2">
      <c r="A1400" s="1">
        <v>40434</v>
      </c>
      <c r="B1400">
        <v>3</v>
      </c>
      <c r="C1400">
        <v>6</v>
      </c>
      <c r="D1400">
        <v>15</v>
      </c>
      <c r="E1400">
        <v>25</v>
      </c>
      <c r="F1400">
        <v>28</v>
      </c>
      <c r="G1400">
        <v>43</v>
      </c>
      <c r="H1400">
        <v>44</v>
      </c>
    </row>
    <row r="1401" spans="1:8" x14ac:dyDescent="0.2">
      <c r="A1401" s="1">
        <v>40430</v>
      </c>
      <c r="B1401">
        <v>2</v>
      </c>
      <c r="C1401">
        <v>18</v>
      </c>
      <c r="D1401">
        <v>21</v>
      </c>
      <c r="E1401">
        <v>22</v>
      </c>
      <c r="F1401">
        <v>32</v>
      </c>
      <c r="G1401">
        <v>40</v>
      </c>
      <c r="H1401">
        <v>34</v>
      </c>
    </row>
    <row r="1402" spans="1:8" x14ac:dyDescent="0.2">
      <c r="A1402" s="1">
        <v>40427</v>
      </c>
      <c r="B1402">
        <v>7</v>
      </c>
      <c r="C1402">
        <v>12</v>
      </c>
      <c r="D1402">
        <v>13</v>
      </c>
      <c r="E1402">
        <v>22</v>
      </c>
      <c r="F1402">
        <v>28</v>
      </c>
      <c r="G1402">
        <v>29</v>
      </c>
      <c r="H1402">
        <v>16</v>
      </c>
    </row>
    <row r="1403" spans="1:8" x14ac:dyDescent="0.2">
      <c r="A1403" s="1">
        <v>40423</v>
      </c>
      <c r="B1403">
        <v>7</v>
      </c>
      <c r="C1403">
        <v>12</v>
      </c>
      <c r="D1403">
        <v>17</v>
      </c>
      <c r="E1403">
        <v>18</v>
      </c>
      <c r="F1403">
        <v>25</v>
      </c>
      <c r="G1403">
        <v>27</v>
      </c>
      <c r="H1403">
        <v>1</v>
      </c>
    </row>
    <row r="1404" spans="1:8" x14ac:dyDescent="0.2">
      <c r="A1404" s="1">
        <v>40420</v>
      </c>
      <c r="B1404">
        <v>12</v>
      </c>
      <c r="C1404">
        <v>16</v>
      </c>
      <c r="D1404">
        <v>21</v>
      </c>
      <c r="E1404">
        <v>29</v>
      </c>
      <c r="F1404">
        <v>34</v>
      </c>
      <c r="G1404">
        <v>40</v>
      </c>
      <c r="H1404">
        <v>38</v>
      </c>
    </row>
    <row r="1405" spans="1:8" x14ac:dyDescent="0.2">
      <c r="A1405" s="1">
        <v>40416</v>
      </c>
      <c r="B1405">
        <v>3</v>
      </c>
      <c r="C1405">
        <v>28</v>
      </c>
      <c r="D1405">
        <v>32</v>
      </c>
      <c r="E1405">
        <v>34</v>
      </c>
      <c r="F1405">
        <v>43</v>
      </c>
      <c r="G1405">
        <v>45</v>
      </c>
      <c r="H1405">
        <v>37</v>
      </c>
    </row>
    <row r="1406" spans="1:8" x14ac:dyDescent="0.2">
      <c r="A1406" s="1">
        <v>40413</v>
      </c>
      <c r="B1406">
        <v>7</v>
      </c>
      <c r="C1406">
        <v>9</v>
      </c>
      <c r="D1406">
        <v>29</v>
      </c>
      <c r="E1406">
        <v>37</v>
      </c>
      <c r="F1406">
        <v>40</v>
      </c>
      <c r="G1406">
        <v>43</v>
      </c>
      <c r="H1406">
        <v>11</v>
      </c>
    </row>
    <row r="1407" spans="1:8" x14ac:dyDescent="0.2">
      <c r="A1407" s="1">
        <v>40409</v>
      </c>
      <c r="B1407">
        <v>8</v>
      </c>
      <c r="C1407">
        <v>19</v>
      </c>
      <c r="D1407">
        <v>30</v>
      </c>
      <c r="E1407">
        <v>31</v>
      </c>
      <c r="F1407">
        <v>33</v>
      </c>
      <c r="G1407">
        <v>43</v>
      </c>
      <c r="H1407">
        <v>32</v>
      </c>
    </row>
    <row r="1408" spans="1:8" x14ac:dyDescent="0.2">
      <c r="A1408" s="1">
        <v>40406</v>
      </c>
      <c r="B1408">
        <v>4</v>
      </c>
      <c r="C1408">
        <v>12</v>
      </c>
      <c r="D1408">
        <v>13</v>
      </c>
      <c r="E1408">
        <v>15</v>
      </c>
      <c r="F1408">
        <v>29</v>
      </c>
      <c r="G1408">
        <v>43</v>
      </c>
      <c r="H1408">
        <v>41</v>
      </c>
    </row>
    <row r="1409" spans="1:8" x14ac:dyDescent="0.2">
      <c r="A1409" s="1">
        <v>40402</v>
      </c>
      <c r="B1409">
        <v>5</v>
      </c>
      <c r="C1409">
        <v>12</v>
      </c>
      <c r="D1409">
        <v>23</v>
      </c>
      <c r="E1409">
        <v>26</v>
      </c>
      <c r="F1409">
        <v>29</v>
      </c>
      <c r="G1409">
        <v>31</v>
      </c>
      <c r="H1409">
        <v>19</v>
      </c>
    </row>
    <row r="1410" spans="1:8" x14ac:dyDescent="0.2">
      <c r="A1410" s="1">
        <v>40399</v>
      </c>
      <c r="B1410">
        <v>11</v>
      </c>
      <c r="C1410">
        <v>15</v>
      </c>
      <c r="D1410">
        <v>16</v>
      </c>
      <c r="E1410">
        <v>36</v>
      </c>
      <c r="F1410">
        <v>38</v>
      </c>
      <c r="G1410">
        <v>43</v>
      </c>
      <c r="H1410">
        <v>40</v>
      </c>
    </row>
    <row r="1411" spans="1:8" x14ac:dyDescent="0.2">
      <c r="A1411" s="1">
        <v>40395</v>
      </c>
      <c r="B1411">
        <v>6</v>
      </c>
      <c r="C1411">
        <v>10</v>
      </c>
      <c r="D1411">
        <v>12</v>
      </c>
      <c r="E1411">
        <v>22</v>
      </c>
      <c r="F1411">
        <v>23</v>
      </c>
      <c r="G1411">
        <v>40</v>
      </c>
      <c r="H1411">
        <v>25</v>
      </c>
    </row>
    <row r="1412" spans="1:8" x14ac:dyDescent="0.2">
      <c r="A1412" s="1">
        <v>40392</v>
      </c>
      <c r="B1412">
        <v>2</v>
      </c>
      <c r="C1412">
        <v>4</v>
      </c>
      <c r="D1412">
        <v>7</v>
      </c>
      <c r="E1412">
        <v>10</v>
      </c>
      <c r="F1412">
        <v>29</v>
      </c>
      <c r="G1412">
        <v>43</v>
      </c>
      <c r="H1412">
        <v>25</v>
      </c>
    </row>
    <row r="1413" spans="1:8" x14ac:dyDescent="0.2">
      <c r="A1413" s="1">
        <v>40388</v>
      </c>
      <c r="B1413">
        <v>6</v>
      </c>
      <c r="C1413">
        <v>7</v>
      </c>
      <c r="D1413">
        <v>11</v>
      </c>
      <c r="E1413">
        <v>23</v>
      </c>
      <c r="F1413">
        <v>42</v>
      </c>
      <c r="G1413">
        <v>44</v>
      </c>
      <c r="H1413">
        <v>38</v>
      </c>
    </row>
    <row r="1414" spans="1:8" x14ac:dyDescent="0.2">
      <c r="A1414" s="1">
        <v>40385</v>
      </c>
      <c r="B1414">
        <v>7</v>
      </c>
      <c r="C1414">
        <v>9</v>
      </c>
      <c r="D1414">
        <v>21</v>
      </c>
      <c r="E1414">
        <v>28</v>
      </c>
      <c r="F1414">
        <v>30</v>
      </c>
      <c r="G1414">
        <v>41</v>
      </c>
      <c r="H1414">
        <v>37</v>
      </c>
    </row>
    <row r="1415" spans="1:8" x14ac:dyDescent="0.2">
      <c r="A1415" s="1">
        <v>40382</v>
      </c>
      <c r="B1415">
        <v>12</v>
      </c>
      <c r="C1415">
        <v>14</v>
      </c>
      <c r="D1415">
        <v>16</v>
      </c>
      <c r="E1415">
        <v>23</v>
      </c>
      <c r="F1415">
        <v>29</v>
      </c>
      <c r="G1415">
        <v>40</v>
      </c>
      <c r="H1415">
        <v>21</v>
      </c>
    </row>
    <row r="1416" spans="1:8" x14ac:dyDescent="0.2">
      <c r="A1416" s="1">
        <v>40378</v>
      </c>
      <c r="B1416">
        <v>3</v>
      </c>
      <c r="C1416">
        <v>4</v>
      </c>
      <c r="D1416">
        <v>5</v>
      </c>
      <c r="E1416">
        <v>10</v>
      </c>
      <c r="F1416">
        <v>19</v>
      </c>
      <c r="G1416">
        <v>35</v>
      </c>
      <c r="H1416">
        <v>9</v>
      </c>
    </row>
    <row r="1417" spans="1:8" x14ac:dyDescent="0.2">
      <c r="A1417" s="1">
        <v>40374</v>
      </c>
      <c r="B1417">
        <v>10</v>
      </c>
      <c r="C1417">
        <v>17</v>
      </c>
      <c r="D1417">
        <v>20</v>
      </c>
      <c r="E1417">
        <v>23</v>
      </c>
      <c r="F1417">
        <v>25</v>
      </c>
      <c r="G1417">
        <v>31</v>
      </c>
      <c r="H1417">
        <v>33</v>
      </c>
    </row>
    <row r="1418" spans="1:8" x14ac:dyDescent="0.2">
      <c r="A1418" s="1">
        <v>40371</v>
      </c>
      <c r="B1418">
        <v>3</v>
      </c>
      <c r="C1418">
        <v>4</v>
      </c>
      <c r="D1418">
        <v>14</v>
      </c>
      <c r="E1418">
        <v>18</v>
      </c>
      <c r="F1418">
        <v>26</v>
      </c>
      <c r="G1418">
        <v>42</v>
      </c>
      <c r="H1418">
        <v>33</v>
      </c>
    </row>
    <row r="1419" spans="1:8" x14ac:dyDescent="0.2">
      <c r="A1419" s="1">
        <v>40367</v>
      </c>
      <c r="B1419">
        <v>3</v>
      </c>
      <c r="C1419">
        <v>6</v>
      </c>
      <c r="D1419">
        <v>9</v>
      </c>
      <c r="E1419">
        <v>23</v>
      </c>
      <c r="F1419">
        <v>38</v>
      </c>
      <c r="G1419">
        <v>39</v>
      </c>
      <c r="H1419">
        <v>14</v>
      </c>
    </row>
    <row r="1420" spans="1:8" x14ac:dyDescent="0.2">
      <c r="A1420" s="1">
        <v>40364</v>
      </c>
      <c r="B1420">
        <v>7</v>
      </c>
      <c r="C1420">
        <v>10</v>
      </c>
      <c r="D1420">
        <v>29</v>
      </c>
      <c r="E1420">
        <v>30</v>
      </c>
      <c r="F1420">
        <v>34</v>
      </c>
      <c r="G1420">
        <v>41</v>
      </c>
      <c r="H1420">
        <v>17</v>
      </c>
    </row>
    <row r="1421" spans="1:8" x14ac:dyDescent="0.2">
      <c r="A1421" s="1">
        <v>40360</v>
      </c>
      <c r="B1421">
        <v>14</v>
      </c>
      <c r="C1421">
        <v>22</v>
      </c>
      <c r="D1421">
        <v>25</v>
      </c>
      <c r="E1421">
        <v>36</v>
      </c>
      <c r="F1421">
        <v>43</v>
      </c>
      <c r="G1421">
        <v>44</v>
      </c>
      <c r="H1421">
        <v>29</v>
      </c>
    </row>
    <row r="1422" spans="1:8" x14ac:dyDescent="0.2">
      <c r="A1422" s="1">
        <v>40357</v>
      </c>
      <c r="B1422">
        <v>5</v>
      </c>
      <c r="C1422">
        <v>8</v>
      </c>
      <c r="D1422">
        <v>17</v>
      </c>
      <c r="E1422">
        <v>27</v>
      </c>
      <c r="F1422">
        <v>32</v>
      </c>
      <c r="G1422">
        <v>34</v>
      </c>
      <c r="H1422">
        <v>22</v>
      </c>
    </row>
    <row r="1423" spans="1:8" x14ac:dyDescent="0.2">
      <c r="A1423" s="1">
        <v>40353</v>
      </c>
      <c r="B1423">
        <v>2</v>
      </c>
      <c r="C1423">
        <v>4</v>
      </c>
      <c r="D1423">
        <v>13</v>
      </c>
      <c r="E1423">
        <v>22</v>
      </c>
      <c r="F1423">
        <v>25</v>
      </c>
      <c r="G1423">
        <v>39</v>
      </c>
      <c r="H1423">
        <v>1</v>
      </c>
    </row>
    <row r="1424" spans="1:8" x14ac:dyDescent="0.2">
      <c r="A1424" s="1">
        <v>40350</v>
      </c>
      <c r="B1424">
        <v>10</v>
      </c>
      <c r="C1424">
        <v>14</v>
      </c>
      <c r="D1424">
        <v>16</v>
      </c>
      <c r="E1424">
        <v>19</v>
      </c>
      <c r="F1424">
        <v>37</v>
      </c>
      <c r="G1424">
        <v>41</v>
      </c>
      <c r="H1424">
        <v>1</v>
      </c>
    </row>
    <row r="1425" spans="1:8" x14ac:dyDescent="0.2">
      <c r="A1425" s="1">
        <v>40346</v>
      </c>
      <c r="B1425">
        <v>13</v>
      </c>
      <c r="C1425">
        <v>14</v>
      </c>
      <c r="D1425">
        <v>15</v>
      </c>
      <c r="E1425">
        <v>20</v>
      </c>
      <c r="F1425">
        <v>38</v>
      </c>
      <c r="G1425">
        <v>45</v>
      </c>
      <c r="H1425">
        <v>35</v>
      </c>
    </row>
    <row r="1426" spans="1:8" x14ac:dyDescent="0.2">
      <c r="A1426" s="1">
        <v>40343</v>
      </c>
      <c r="B1426">
        <v>7</v>
      </c>
      <c r="C1426">
        <v>13</v>
      </c>
      <c r="D1426">
        <v>14</v>
      </c>
      <c r="E1426">
        <v>15</v>
      </c>
      <c r="F1426">
        <v>18</v>
      </c>
      <c r="G1426">
        <v>44</v>
      </c>
      <c r="H1426">
        <v>28</v>
      </c>
    </row>
    <row r="1427" spans="1:8" x14ac:dyDescent="0.2">
      <c r="A1427" s="1">
        <v>40339</v>
      </c>
      <c r="B1427">
        <v>20</v>
      </c>
      <c r="C1427">
        <v>31</v>
      </c>
      <c r="D1427">
        <v>35</v>
      </c>
      <c r="E1427">
        <v>40</v>
      </c>
      <c r="F1427">
        <v>43</v>
      </c>
      <c r="G1427">
        <v>44</v>
      </c>
      <c r="H1427">
        <v>17</v>
      </c>
    </row>
    <row r="1428" spans="1:8" x14ac:dyDescent="0.2">
      <c r="A1428" s="1">
        <v>40336</v>
      </c>
      <c r="B1428">
        <v>1</v>
      </c>
      <c r="C1428">
        <v>8</v>
      </c>
      <c r="D1428">
        <v>13</v>
      </c>
      <c r="E1428">
        <v>17</v>
      </c>
      <c r="F1428">
        <v>22</v>
      </c>
      <c r="G1428">
        <v>33</v>
      </c>
      <c r="H1428">
        <v>25</v>
      </c>
    </row>
    <row r="1429" spans="1:8" x14ac:dyDescent="0.2">
      <c r="A1429" s="1">
        <v>40332</v>
      </c>
      <c r="B1429">
        <v>18</v>
      </c>
      <c r="C1429">
        <v>24</v>
      </c>
      <c r="D1429">
        <v>26</v>
      </c>
      <c r="E1429">
        <v>30</v>
      </c>
      <c r="F1429">
        <v>32</v>
      </c>
      <c r="G1429">
        <v>33</v>
      </c>
      <c r="H1429">
        <v>3</v>
      </c>
    </row>
    <row r="1430" spans="1:8" x14ac:dyDescent="0.2">
      <c r="A1430" s="1">
        <v>40329</v>
      </c>
      <c r="B1430">
        <v>6</v>
      </c>
      <c r="C1430">
        <v>7</v>
      </c>
      <c r="D1430">
        <v>9</v>
      </c>
      <c r="E1430">
        <v>12</v>
      </c>
      <c r="F1430">
        <v>13</v>
      </c>
      <c r="G1430">
        <v>44</v>
      </c>
      <c r="H1430">
        <v>28</v>
      </c>
    </row>
    <row r="1431" spans="1:8" x14ac:dyDescent="0.2">
      <c r="A1431" s="1">
        <v>40325</v>
      </c>
      <c r="B1431">
        <v>1</v>
      </c>
      <c r="C1431">
        <v>5</v>
      </c>
      <c r="D1431">
        <v>11</v>
      </c>
      <c r="E1431">
        <v>12</v>
      </c>
      <c r="F1431">
        <v>33</v>
      </c>
      <c r="G1431">
        <v>38</v>
      </c>
      <c r="H1431">
        <v>20</v>
      </c>
    </row>
    <row r="1432" spans="1:8" x14ac:dyDescent="0.2">
      <c r="A1432" s="1">
        <v>40322</v>
      </c>
      <c r="B1432">
        <v>8</v>
      </c>
      <c r="C1432">
        <v>19</v>
      </c>
      <c r="D1432">
        <v>22</v>
      </c>
      <c r="E1432">
        <v>23</v>
      </c>
      <c r="F1432">
        <v>28</v>
      </c>
      <c r="G1432">
        <v>33</v>
      </c>
      <c r="H1432">
        <v>13</v>
      </c>
    </row>
    <row r="1433" spans="1:8" x14ac:dyDescent="0.2">
      <c r="A1433" s="1">
        <v>40318</v>
      </c>
      <c r="B1433">
        <v>8</v>
      </c>
      <c r="C1433">
        <v>12</v>
      </c>
      <c r="D1433">
        <v>27</v>
      </c>
      <c r="E1433">
        <v>31</v>
      </c>
      <c r="F1433">
        <v>36</v>
      </c>
      <c r="G1433">
        <v>40</v>
      </c>
      <c r="H1433">
        <v>30</v>
      </c>
    </row>
    <row r="1434" spans="1:8" x14ac:dyDescent="0.2">
      <c r="A1434" s="1">
        <v>40315</v>
      </c>
      <c r="B1434">
        <v>6</v>
      </c>
      <c r="C1434">
        <v>16</v>
      </c>
      <c r="D1434">
        <v>22</v>
      </c>
      <c r="E1434">
        <v>23</v>
      </c>
      <c r="F1434">
        <v>31</v>
      </c>
      <c r="G1434">
        <v>33</v>
      </c>
      <c r="H1434">
        <v>20</v>
      </c>
    </row>
    <row r="1435" spans="1:8" x14ac:dyDescent="0.2">
      <c r="A1435" s="1">
        <v>40312</v>
      </c>
      <c r="B1435">
        <v>5</v>
      </c>
      <c r="C1435">
        <v>12</v>
      </c>
      <c r="D1435">
        <v>23</v>
      </c>
      <c r="E1435">
        <v>37</v>
      </c>
      <c r="F1435">
        <v>38</v>
      </c>
      <c r="G1435">
        <v>43</v>
      </c>
      <c r="H1435">
        <v>41</v>
      </c>
    </row>
    <row r="1436" spans="1:8" x14ac:dyDescent="0.2">
      <c r="A1436" s="1">
        <v>40308</v>
      </c>
      <c r="B1436">
        <v>1</v>
      </c>
      <c r="C1436">
        <v>12</v>
      </c>
      <c r="D1436">
        <v>16</v>
      </c>
      <c r="E1436">
        <v>18</v>
      </c>
      <c r="F1436">
        <v>34</v>
      </c>
      <c r="G1436">
        <v>36</v>
      </c>
      <c r="H1436">
        <v>41</v>
      </c>
    </row>
    <row r="1437" spans="1:8" x14ac:dyDescent="0.2">
      <c r="A1437" s="1">
        <v>40304</v>
      </c>
      <c r="B1437">
        <v>4</v>
      </c>
      <c r="C1437">
        <v>8</v>
      </c>
      <c r="D1437">
        <v>33</v>
      </c>
      <c r="E1437">
        <v>42</v>
      </c>
      <c r="F1437">
        <v>44</v>
      </c>
      <c r="G1437">
        <v>45</v>
      </c>
      <c r="H1437">
        <v>19</v>
      </c>
    </row>
    <row r="1438" spans="1:8" x14ac:dyDescent="0.2">
      <c r="A1438" s="1">
        <v>40301</v>
      </c>
      <c r="B1438">
        <v>1</v>
      </c>
      <c r="C1438">
        <v>6</v>
      </c>
      <c r="D1438">
        <v>19</v>
      </c>
      <c r="E1438">
        <v>25</v>
      </c>
      <c r="F1438">
        <v>42</v>
      </c>
      <c r="G1438">
        <v>45</v>
      </c>
      <c r="H1438">
        <v>8</v>
      </c>
    </row>
    <row r="1439" spans="1:8" x14ac:dyDescent="0.2">
      <c r="A1439" s="1">
        <v>40297</v>
      </c>
      <c r="B1439">
        <v>12</v>
      </c>
      <c r="C1439">
        <v>20</v>
      </c>
      <c r="D1439">
        <v>23</v>
      </c>
      <c r="E1439">
        <v>30</v>
      </c>
      <c r="F1439">
        <v>31</v>
      </c>
      <c r="G1439">
        <v>41</v>
      </c>
      <c r="H1439">
        <v>38</v>
      </c>
    </row>
    <row r="1440" spans="1:8" x14ac:dyDescent="0.2">
      <c r="A1440" s="1">
        <v>40294</v>
      </c>
      <c r="B1440">
        <v>7</v>
      </c>
      <c r="C1440">
        <v>14</v>
      </c>
      <c r="D1440">
        <v>23</v>
      </c>
      <c r="E1440">
        <v>32</v>
      </c>
      <c r="F1440">
        <v>36</v>
      </c>
      <c r="G1440">
        <v>44</v>
      </c>
      <c r="H1440">
        <v>31</v>
      </c>
    </row>
    <row r="1441" spans="1:8" x14ac:dyDescent="0.2">
      <c r="A1441" s="1">
        <v>40290</v>
      </c>
      <c r="B1441">
        <v>9</v>
      </c>
      <c r="C1441">
        <v>26</v>
      </c>
      <c r="D1441">
        <v>30</v>
      </c>
      <c r="E1441">
        <v>31</v>
      </c>
      <c r="F1441">
        <v>35</v>
      </c>
      <c r="G1441">
        <v>43</v>
      </c>
      <c r="H1441">
        <v>45</v>
      </c>
    </row>
    <row r="1442" spans="1:8" x14ac:dyDescent="0.2">
      <c r="A1442" s="1">
        <v>40287</v>
      </c>
      <c r="B1442">
        <v>9</v>
      </c>
      <c r="C1442">
        <v>23</v>
      </c>
      <c r="D1442">
        <v>32</v>
      </c>
      <c r="E1442">
        <v>38</v>
      </c>
      <c r="F1442">
        <v>39</v>
      </c>
      <c r="G1442">
        <v>43</v>
      </c>
      <c r="H1442">
        <v>1</v>
      </c>
    </row>
    <row r="1443" spans="1:8" x14ac:dyDescent="0.2">
      <c r="A1443" s="1">
        <v>40283</v>
      </c>
      <c r="B1443">
        <v>12</v>
      </c>
      <c r="C1443">
        <v>13</v>
      </c>
      <c r="D1443">
        <v>23</v>
      </c>
      <c r="E1443">
        <v>26</v>
      </c>
      <c r="F1443">
        <v>38</v>
      </c>
      <c r="G1443">
        <v>43</v>
      </c>
      <c r="H1443">
        <v>25</v>
      </c>
    </row>
    <row r="1444" spans="1:8" x14ac:dyDescent="0.2">
      <c r="A1444" s="1">
        <v>40280</v>
      </c>
      <c r="B1444">
        <v>5</v>
      </c>
      <c r="C1444">
        <v>10</v>
      </c>
      <c r="D1444">
        <v>28</v>
      </c>
      <c r="E1444">
        <v>33</v>
      </c>
      <c r="F1444">
        <v>36</v>
      </c>
      <c r="G1444">
        <v>39</v>
      </c>
      <c r="H1444">
        <v>16</v>
      </c>
    </row>
    <row r="1445" spans="1:8" x14ac:dyDescent="0.2">
      <c r="A1445" s="1">
        <v>40276</v>
      </c>
      <c r="B1445">
        <v>5</v>
      </c>
      <c r="C1445">
        <v>9</v>
      </c>
      <c r="D1445">
        <v>14</v>
      </c>
      <c r="E1445">
        <v>22</v>
      </c>
      <c r="F1445">
        <v>24</v>
      </c>
      <c r="G1445">
        <v>29</v>
      </c>
      <c r="H1445">
        <v>26</v>
      </c>
    </row>
    <row r="1446" spans="1:8" x14ac:dyDescent="0.2">
      <c r="A1446" s="1">
        <v>40273</v>
      </c>
      <c r="B1446">
        <v>9</v>
      </c>
      <c r="C1446">
        <v>13</v>
      </c>
      <c r="D1446">
        <v>21</v>
      </c>
      <c r="E1446">
        <v>31</v>
      </c>
      <c r="F1446">
        <v>37</v>
      </c>
      <c r="G1446">
        <v>39</v>
      </c>
      <c r="H1446">
        <v>3</v>
      </c>
    </row>
    <row r="1447" spans="1:8" x14ac:dyDescent="0.2">
      <c r="A1447" s="1">
        <v>40269</v>
      </c>
      <c r="B1447">
        <v>4</v>
      </c>
      <c r="C1447">
        <v>5</v>
      </c>
      <c r="D1447">
        <v>6</v>
      </c>
      <c r="E1447">
        <v>18</v>
      </c>
      <c r="F1447">
        <v>28</v>
      </c>
      <c r="G1447">
        <v>30</v>
      </c>
      <c r="H1447">
        <v>21</v>
      </c>
    </row>
    <row r="1448" spans="1:8" x14ac:dyDescent="0.2">
      <c r="A1448" s="1">
        <v>40266</v>
      </c>
      <c r="B1448">
        <v>2</v>
      </c>
      <c r="C1448">
        <v>18</v>
      </c>
      <c r="D1448">
        <v>30</v>
      </c>
      <c r="E1448">
        <v>41</v>
      </c>
      <c r="F1448">
        <v>43</v>
      </c>
      <c r="G1448">
        <v>44</v>
      </c>
      <c r="H1448">
        <v>14</v>
      </c>
    </row>
    <row r="1449" spans="1:8" x14ac:dyDescent="0.2">
      <c r="A1449" s="1">
        <v>40262</v>
      </c>
      <c r="B1449">
        <v>10</v>
      </c>
      <c r="C1449">
        <v>13</v>
      </c>
      <c r="D1449">
        <v>24</v>
      </c>
      <c r="E1449">
        <v>29</v>
      </c>
      <c r="F1449">
        <v>33</v>
      </c>
      <c r="G1449">
        <v>42</v>
      </c>
      <c r="H1449">
        <v>31</v>
      </c>
    </row>
    <row r="1450" spans="1:8" x14ac:dyDescent="0.2">
      <c r="A1450" s="1">
        <v>40259</v>
      </c>
      <c r="B1450">
        <v>9</v>
      </c>
      <c r="C1450">
        <v>12</v>
      </c>
      <c r="D1450">
        <v>16</v>
      </c>
      <c r="E1450">
        <v>23</v>
      </c>
      <c r="F1450">
        <v>29</v>
      </c>
      <c r="G1450">
        <v>31</v>
      </c>
      <c r="H1450">
        <v>10</v>
      </c>
    </row>
    <row r="1451" spans="1:8" x14ac:dyDescent="0.2">
      <c r="A1451" s="1">
        <v>40255</v>
      </c>
      <c r="B1451">
        <v>1</v>
      </c>
      <c r="C1451">
        <v>4</v>
      </c>
      <c r="D1451">
        <v>6</v>
      </c>
      <c r="E1451">
        <v>30</v>
      </c>
      <c r="F1451">
        <v>31</v>
      </c>
      <c r="G1451">
        <v>32</v>
      </c>
      <c r="H1451">
        <v>8</v>
      </c>
    </row>
    <row r="1452" spans="1:8" x14ac:dyDescent="0.2">
      <c r="A1452" s="1">
        <v>40252</v>
      </c>
      <c r="B1452">
        <v>7</v>
      </c>
      <c r="C1452">
        <v>28</v>
      </c>
      <c r="D1452">
        <v>31</v>
      </c>
      <c r="E1452">
        <v>32</v>
      </c>
      <c r="F1452">
        <v>39</v>
      </c>
      <c r="G1452">
        <v>42</v>
      </c>
      <c r="H1452">
        <v>9</v>
      </c>
    </row>
    <row r="1453" spans="1:8" x14ac:dyDescent="0.2">
      <c r="A1453" s="1">
        <v>40248</v>
      </c>
      <c r="B1453">
        <v>6</v>
      </c>
      <c r="C1453">
        <v>10</v>
      </c>
      <c r="D1453">
        <v>11</v>
      </c>
      <c r="E1453">
        <v>13</v>
      </c>
      <c r="F1453">
        <v>15</v>
      </c>
      <c r="G1453">
        <v>42</v>
      </c>
      <c r="H1453">
        <v>33</v>
      </c>
    </row>
    <row r="1454" spans="1:8" x14ac:dyDescent="0.2">
      <c r="A1454" s="1">
        <v>40245</v>
      </c>
      <c r="B1454">
        <v>3</v>
      </c>
      <c r="C1454">
        <v>13</v>
      </c>
      <c r="D1454">
        <v>21</v>
      </c>
      <c r="E1454">
        <v>22</v>
      </c>
      <c r="F1454">
        <v>24</v>
      </c>
      <c r="G1454">
        <v>36</v>
      </c>
      <c r="H1454">
        <v>40</v>
      </c>
    </row>
    <row r="1455" spans="1:8" x14ac:dyDescent="0.2">
      <c r="A1455" s="1">
        <v>40241</v>
      </c>
      <c r="B1455">
        <v>4</v>
      </c>
      <c r="C1455">
        <v>14</v>
      </c>
      <c r="D1455">
        <v>23</v>
      </c>
      <c r="E1455">
        <v>27</v>
      </c>
      <c r="F1455">
        <v>43</v>
      </c>
      <c r="G1455">
        <v>45</v>
      </c>
      <c r="H1455">
        <v>24</v>
      </c>
    </row>
    <row r="1456" spans="1:8" x14ac:dyDescent="0.2">
      <c r="A1456" s="1">
        <v>40238</v>
      </c>
      <c r="B1456">
        <v>23</v>
      </c>
      <c r="C1456">
        <v>25</v>
      </c>
      <c r="D1456">
        <v>27</v>
      </c>
      <c r="E1456">
        <v>31</v>
      </c>
      <c r="F1456">
        <v>40</v>
      </c>
      <c r="G1456">
        <v>42</v>
      </c>
      <c r="H1456">
        <v>20</v>
      </c>
    </row>
    <row r="1457" spans="1:8" x14ac:dyDescent="0.2">
      <c r="A1457" s="1">
        <v>40235</v>
      </c>
      <c r="B1457">
        <v>4</v>
      </c>
      <c r="C1457">
        <v>17</v>
      </c>
      <c r="D1457">
        <v>22</v>
      </c>
      <c r="E1457">
        <v>26</v>
      </c>
      <c r="F1457">
        <v>34</v>
      </c>
      <c r="G1457">
        <v>37</v>
      </c>
      <c r="H1457">
        <v>43</v>
      </c>
    </row>
    <row r="1458" spans="1:8" x14ac:dyDescent="0.2">
      <c r="A1458" s="1">
        <v>40231</v>
      </c>
      <c r="B1458">
        <v>9</v>
      </c>
      <c r="C1458">
        <v>18</v>
      </c>
      <c r="D1458">
        <v>25</v>
      </c>
      <c r="E1458">
        <v>37</v>
      </c>
      <c r="F1458">
        <v>40</v>
      </c>
      <c r="G1458">
        <v>43</v>
      </c>
      <c r="H1458">
        <v>30</v>
      </c>
    </row>
    <row r="1459" spans="1:8" x14ac:dyDescent="0.2">
      <c r="A1459" s="1">
        <v>40227</v>
      </c>
      <c r="B1459">
        <v>6</v>
      </c>
      <c r="C1459">
        <v>9</v>
      </c>
      <c r="D1459">
        <v>29</v>
      </c>
      <c r="E1459">
        <v>30</v>
      </c>
      <c r="F1459">
        <v>31</v>
      </c>
      <c r="G1459">
        <v>37</v>
      </c>
      <c r="H1459">
        <v>26</v>
      </c>
    </row>
    <row r="1460" spans="1:8" x14ac:dyDescent="0.2">
      <c r="A1460" s="1">
        <v>40224</v>
      </c>
      <c r="B1460">
        <v>4</v>
      </c>
      <c r="C1460">
        <v>24</v>
      </c>
      <c r="D1460">
        <v>28</v>
      </c>
      <c r="E1460">
        <v>29</v>
      </c>
      <c r="F1460">
        <v>35</v>
      </c>
      <c r="G1460">
        <v>42</v>
      </c>
      <c r="H1460">
        <v>34</v>
      </c>
    </row>
    <row r="1461" spans="1:8" x14ac:dyDescent="0.2">
      <c r="A1461" s="1">
        <v>40220</v>
      </c>
      <c r="B1461">
        <v>1</v>
      </c>
      <c r="C1461">
        <v>2</v>
      </c>
      <c r="D1461">
        <v>14</v>
      </c>
      <c r="E1461">
        <v>31</v>
      </c>
      <c r="F1461">
        <v>42</v>
      </c>
      <c r="G1461">
        <v>43</v>
      </c>
      <c r="H1461">
        <v>3</v>
      </c>
    </row>
    <row r="1462" spans="1:8" x14ac:dyDescent="0.2">
      <c r="A1462" s="1">
        <v>40217</v>
      </c>
      <c r="B1462">
        <v>9</v>
      </c>
      <c r="C1462">
        <v>14</v>
      </c>
      <c r="D1462">
        <v>15</v>
      </c>
      <c r="E1462">
        <v>27</v>
      </c>
      <c r="F1462">
        <v>29</v>
      </c>
      <c r="G1462">
        <v>32</v>
      </c>
      <c r="H1462">
        <v>12</v>
      </c>
    </row>
    <row r="1463" spans="1:8" x14ac:dyDescent="0.2">
      <c r="A1463" s="1">
        <v>40213</v>
      </c>
      <c r="B1463">
        <v>24</v>
      </c>
      <c r="C1463">
        <v>28</v>
      </c>
      <c r="D1463">
        <v>29</v>
      </c>
      <c r="E1463">
        <v>32</v>
      </c>
      <c r="F1463">
        <v>39</v>
      </c>
      <c r="G1463">
        <v>44</v>
      </c>
      <c r="H1463">
        <v>12</v>
      </c>
    </row>
    <row r="1464" spans="1:8" x14ac:dyDescent="0.2">
      <c r="A1464" s="1">
        <v>40210</v>
      </c>
      <c r="B1464">
        <v>3</v>
      </c>
      <c r="C1464">
        <v>5</v>
      </c>
      <c r="D1464">
        <v>15</v>
      </c>
      <c r="E1464">
        <v>23</v>
      </c>
      <c r="F1464">
        <v>32</v>
      </c>
      <c r="G1464">
        <v>42</v>
      </c>
      <c r="H1464">
        <v>30</v>
      </c>
    </row>
    <row r="1465" spans="1:8" x14ac:dyDescent="0.2">
      <c r="A1465" s="1">
        <v>40206</v>
      </c>
      <c r="B1465">
        <v>6</v>
      </c>
      <c r="C1465">
        <v>8</v>
      </c>
      <c r="D1465">
        <v>11</v>
      </c>
      <c r="E1465">
        <v>18</v>
      </c>
      <c r="F1465">
        <v>21</v>
      </c>
      <c r="G1465">
        <v>30</v>
      </c>
      <c r="H1465">
        <v>41</v>
      </c>
    </row>
    <row r="1466" spans="1:8" x14ac:dyDescent="0.2">
      <c r="A1466" s="1">
        <v>40203</v>
      </c>
      <c r="B1466">
        <v>1</v>
      </c>
      <c r="C1466">
        <v>8</v>
      </c>
      <c r="D1466">
        <v>14</v>
      </c>
      <c r="E1466">
        <v>17</v>
      </c>
      <c r="F1466">
        <v>36</v>
      </c>
      <c r="G1466">
        <v>42</v>
      </c>
      <c r="H1466">
        <v>15</v>
      </c>
    </row>
    <row r="1467" spans="1:8" x14ac:dyDescent="0.2">
      <c r="A1467" s="1">
        <v>40199</v>
      </c>
      <c r="B1467">
        <v>15</v>
      </c>
      <c r="C1467">
        <v>17</v>
      </c>
      <c r="D1467">
        <v>20</v>
      </c>
      <c r="E1467">
        <v>38</v>
      </c>
      <c r="F1467">
        <v>39</v>
      </c>
      <c r="G1467">
        <v>44</v>
      </c>
      <c r="H1467">
        <v>6</v>
      </c>
    </row>
    <row r="1468" spans="1:8" x14ac:dyDescent="0.2">
      <c r="A1468" s="1">
        <v>40196</v>
      </c>
      <c r="B1468">
        <v>1</v>
      </c>
      <c r="C1468">
        <v>16</v>
      </c>
      <c r="D1468">
        <v>22</v>
      </c>
      <c r="E1468">
        <v>24</v>
      </c>
      <c r="F1468">
        <v>25</v>
      </c>
      <c r="G1468">
        <v>36</v>
      </c>
      <c r="H1468">
        <v>13</v>
      </c>
    </row>
    <row r="1469" spans="1:8" x14ac:dyDescent="0.2">
      <c r="A1469" s="1">
        <v>40192</v>
      </c>
      <c r="B1469">
        <v>3</v>
      </c>
      <c r="C1469">
        <v>26</v>
      </c>
      <c r="D1469">
        <v>31</v>
      </c>
      <c r="E1469">
        <v>34</v>
      </c>
      <c r="F1469">
        <v>36</v>
      </c>
      <c r="G1469">
        <v>41</v>
      </c>
      <c r="H1469">
        <v>42</v>
      </c>
    </row>
    <row r="1470" spans="1:8" x14ac:dyDescent="0.2">
      <c r="A1470" s="1">
        <v>40189</v>
      </c>
      <c r="B1470">
        <v>6</v>
      </c>
      <c r="C1470">
        <v>26</v>
      </c>
      <c r="D1470">
        <v>29</v>
      </c>
      <c r="E1470">
        <v>30</v>
      </c>
      <c r="F1470">
        <v>39</v>
      </c>
      <c r="G1470">
        <v>41</v>
      </c>
      <c r="H1470">
        <v>12</v>
      </c>
    </row>
    <row r="1471" spans="1:8" x14ac:dyDescent="0.2">
      <c r="A1471" s="1">
        <v>40185</v>
      </c>
      <c r="B1471">
        <v>5</v>
      </c>
      <c r="C1471">
        <v>6</v>
      </c>
      <c r="D1471">
        <v>22</v>
      </c>
      <c r="E1471">
        <v>34</v>
      </c>
      <c r="F1471">
        <v>42</v>
      </c>
      <c r="G1471">
        <v>45</v>
      </c>
      <c r="H1471">
        <v>35</v>
      </c>
    </row>
    <row r="1472" spans="1:8" x14ac:dyDescent="0.2">
      <c r="A1472" s="1">
        <v>40182</v>
      </c>
      <c r="B1472">
        <v>11</v>
      </c>
      <c r="C1472">
        <v>16</v>
      </c>
      <c r="D1472">
        <v>20</v>
      </c>
      <c r="E1472">
        <v>27</v>
      </c>
      <c r="F1472">
        <v>30</v>
      </c>
      <c r="G1472">
        <v>41</v>
      </c>
      <c r="H1472">
        <v>26</v>
      </c>
    </row>
    <row r="1473" spans="1:8" x14ac:dyDescent="0.2">
      <c r="A1473" s="1">
        <v>40178</v>
      </c>
      <c r="B1473">
        <v>7</v>
      </c>
      <c r="C1473">
        <v>8</v>
      </c>
      <c r="D1473">
        <v>35</v>
      </c>
      <c r="E1473">
        <v>36</v>
      </c>
      <c r="F1473">
        <v>39</v>
      </c>
      <c r="G1473">
        <v>44</v>
      </c>
      <c r="H1473">
        <v>37</v>
      </c>
    </row>
    <row r="1474" spans="1:8" x14ac:dyDescent="0.2">
      <c r="A1474" s="1">
        <v>40175</v>
      </c>
      <c r="B1474">
        <v>9</v>
      </c>
      <c r="C1474">
        <v>24</v>
      </c>
      <c r="D1474">
        <v>33</v>
      </c>
      <c r="E1474">
        <v>36</v>
      </c>
      <c r="F1474">
        <v>37</v>
      </c>
      <c r="G1474">
        <v>40</v>
      </c>
      <c r="H1474">
        <v>44</v>
      </c>
    </row>
    <row r="1475" spans="1:8" x14ac:dyDescent="0.2">
      <c r="A1475" s="1">
        <v>40171</v>
      </c>
      <c r="B1475">
        <v>5</v>
      </c>
      <c r="C1475">
        <v>9</v>
      </c>
      <c r="D1475">
        <v>11</v>
      </c>
      <c r="E1475">
        <v>26</v>
      </c>
      <c r="F1475">
        <v>27</v>
      </c>
      <c r="G1475">
        <v>29</v>
      </c>
      <c r="H1475">
        <v>2</v>
      </c>
    </row>
    <row r="1476" spans="1:8" x14ac:dyDescent="0.2">
      <c r="A1476" s="1">
        <v>40168</v>
      </c>
      <c r="B1476">
        <v>4</v>
      </c>
      <c r="C1476">
        <v>8</v>
      </c>
      <c r="D1476">
        <v>16</v>
      </c>
      <c r="E1476">
        <v>17</v>
      </c>
      <c r="F1476">
        <v>38</v>
      </c>
      <c r="G1476">
        <v>42</v>
      </c>
      <c r="H1476">
        <v>12</v>
      </c>
    </row>
    <row r="1477" spans="1:8" x14ac:dyDescent="0.2">
      <c r="A1477" s="1">
        <v>40164</v>
      </c>
      <c r="B1477">
        <v>3</v>
      </c>
      <c r="C1477">
        <v>7</v>
      </c>
      <c r="D1477">
        <v>11</v>
      </c>
      <c r="E1477">
        <v>31</v>
      </c>
      <c r="F1477">
        <v>34</v>
      </c>
      <c r="G1477">
        <v>41</v>
      </c>
      <c r="H1477">
        <v>22</v>
      </c>
    </row>
    <row r="1478" spans="1:8" x14ac:dyDescent="0.2">
      <c r="A1478" s="1">
        <v>40161</v>
      </c>
      <c r="B1478">
        <v>2</v>
      </c>
      <c r="C1478">
        <v>8</v>
      </c>
      <c r="D1478">
        <v>14</v>
      </c>
      <c r="E1478">
        <v>20</v>
      </c>
      <c r="F1478">
        <v>21</v>
      </c>
      <c r="G1478">
        <v>37</v>
      </c>
      <c r="H1478">
        <v>3</v>
      </c>
    </row>
    <row r="1479" spans="1:8" x14ac:dyDescent="0.2">
      <c r="A1479" s="1">
        <v>40157</v>
      </c>
      <c r="B1479">
        <v>8</v>
      </c>
      <c r="C1479">
        <v>10</v>
      </c>
      <c r="D1479">
        <v>13</v>
      </c>
      <c r="E1479">
        <v>21</v>
      </c>
      <c r="F1479">
        <v>25</v>
      </c>
      <c r="G1479">
        <v>45</v>
      </c>
      <c r="H1479">
        <v>26</v>
      </c>
    </row>
    <row r="1480" spans="1:8" x14ac:dyDescent="0.2">
      <c r="A1480" s="1">
        <v>40154</v>
      </c>
      <c r="B1480">
        <v>4</v>
      </c>
      <c r="C1480">
        <v>13</v>
      </c>
      <c r="D1480">
        <v>22</v>
      </c>
      <c r="E1480">
        <v>27</v>
      </c>
      <c r="F1480">
        <v>39</v>
      </c>
      <c r="G1480">
        <v>45</v>
      </c>
      <c r="H1480">
        <v>21</v>
      </c>
    </row>
    <row r="1481" spans="1:8" x14ac:dyDescent="0.2">
      <c r="A1481" s="1">
        <v>40150</v>
      </c>
      <c r="B1481">
        <v>1</v>
      </c>
      <c r="C1481">
        <v>8</v>
      </c>
      <c r="D1481">
        <v>10</v>
      </c>
      <c r="E1481">
        <v>12</v>
      </c>
      <c r="F1481">
        <v>13</v>
      </c>
      <c r="G1481">
        <v>14</v>
      </c>
      <c r="H1481">
        <v>15</v>
      </c>
    </row>
    <row r="1482" spans="1:8" x14ac:dyDescent="0.2">
      <c r="A1482" s="1">
        <v>40147</v>
      </c>
      <c r="B1482">
        <v>1</v>
      </c>
      <c r="C1482">
        <v>17</v>
      </c>
      <c r="D1482">
        <v>22</v>
      </c>
      <c r="E1482">
        <v>35</v>
      </c>
      <c r="F1482">
        <v>44</v>
      </c>
      <c r="G1482">
        <v>45</v>
      </c>
      <c r="H1482">
        <v>36</v>
      </c>
    </row>
    <row r="1483" spans="1:8" x14ac:dyDescent="0.2">
      <c r="A1483" s="1">
        <v>40143</v>
      </c>
      <c r="B1483">
        <v>5</v>
      </c>
      <c r="C1483">
        <v>11</v>
      </c>
      <c r="D1483">
        <v>12</v>
      </c>
      <c r="E1483">
        <v>17</v>
      </c>
      <c r="F1483">
        <v>20</v>
      </c>
      <c r="G1483">
        <v>30</v>
      </c>
      <c r="H1483">
        <v>43</v>
      </c>
    </row>
    <row r="1484" spans="1:8" x14ac:dyDescent="0.2">
      <c r="A1484" s="1">
        <v>40140</v>
      </c>
      <c r="B1484">
        <v>1</v>
      </c>
      <c r="C1484">
        <v>20</v>
      </c>
      <c r="D1484">
        <v>21</v>
      </c>
      <c r="E1484">
        <v>22</v>
      </c>
      <c r="F1484">
        <v>29</v>
      </c>
      <c r="G1484">
        <v>30</v>
      </c>
      <c r="H1484">
        <v>38</v>
      </c>
    </row>
    <row r="1485" spans="1:8" x14ac:dyDescent="0.2">
      <c r="A1485" s="1">
        <v>40136</v>
      </c>
      <c r="B1485">
        <v>10</v>
      </c>
      <c r="C1485">
        <v>22</v>
      </c>
      <c r="D1485">
        <v>33</v>
      </c>
      <c r="E1485">
        <v>37</v>
      </c>
      <c r="F1485">
        <v>44</v>
      </c>
      <c r="G1485">
        <v>45</v>
      </c>
      <c r="H1485">
        <v>15</v>
      </c>
    </row>
    <row r="1486" spans="1:8" x14ac:dyDescent="0.2">
      <c r="A1486" s="1">
        <v>40133</v>
      </c>
      <c r="B1486">
        <v>20</v>
      </c>
      <c r="C1486">
        <v>24</v>
      </c>
      <c r="D1486">
        <v>31</v>
      </c>
      <c r="E1486">
        <v>33</v>
      </c>
      <c r="F1486">
        <v>34</v>
      </c>
      <c r="G1486">
        <v>41</v>
      </c>
      <c r="H1486">
        <v>25</v>
      </c>
    </row>
    <row r="1487" spans="1:8" x14ac:dyDescent="0.2">
      <c r="A1487" s="1">
        <v>40129</v>
      </c>
      <c r="B1487">
        <v>16</v>
      </c>
      <c r="C1487">
        <v>20</v>
      </c>
      <c r="D1487">
        <v>26</v>
      </c>
      <c r="E1487">
        <v>29</v>
      </c>
      <c r="F1487">
        <v>40</v>
      </c>
      <c r="G1487">
        <v>41</v>
      </c>
      <c r="H1487">
        <v>18</v>
      </c>
    </row>
    <row r="1488" spans="1:8" x14ac:dyDescent="0.2">
      <c r="A1488" s="1">
        <v>40126</v>
      </c>
      <c r="B1488">
        <v>6</v>
      </c>
      <c r="C1488">
        <v>7</v>
      </c>
      <c r="D1488">
        <v>18</v>
      </c>
      <c r="E1488">
        <v>28</v>
      </c>
      <c r="F1488">
        <v>32</v>
      </c>
      <c r="G1488">
        <v>35</v>
      </c>
      <c r="H1488">
        <v>42</v>
      </c>
    </row>
    <row r="1489" spans="1:8" x14ac:dyDescent="0.2">
      <c r="A1489" s="1">
        <v>40122</v>
      </c>
      <c r="B1489">
        <v>5</v>
      </c>
      <c r="C1489">
        <v>13</v>
      </c>
      <c r="D1489">
        <v>23</v>
      </c>
      <c r="E1489">
        <v>25</v>
      </c>
      <c r="F1489">
        <v>27</v>
      </c>
      <c r="G1489">
        <v>37</v>
      </c>
      <c r="H1489">
        <v>4</v>
      </c>
    </row>
    <row r="1490" spans="1:8" x14ac:dyDescent="0.2">
      <c r="A1490" s="1">
        <v>40119</v>
      </c>
      <c r="B1490">
        <v>16</v>
      </c>
      <c r="C1490">
        <v>22</v>
      </c>
      <c r="D1490">
        <v>23</v>
      </c>
      <c r="E1490">
        <v>31</v>
      </c>
      <c r="F1490">
        <v>37</v>
      </c>
      <c r="G1490">
        <v>39</v>
      </c>
      <c r="H1490">
        <v>18</v>
      </c>
    </row>
    <row r="1491" spans="1:8" x14ac:dyDescent="0.2">
      <c r="A1491" s="1">
        <v>40115</v>
      </c>
      <c r="B1491">
        <v>1</v>
      </c>
      <c r="C1491">
        <v>6</v>
      </c>
      <c r="D1491">
        <v>25</v>
      </c>
      <c r="E1491">
        <v>28</v>
      </c>
      <c r="F1491">
        <v>29</v>
      </c>
      <c r="G1491">
        <v>32</v>
      </c>
      <c r="H1491">
        <v>24</v>
      </c>
    </row>
    <row r="1492" spans="1:8" x14ac:dyDescent="0.2">
      <c r="A1492" s="1">
        <v>40112</v>
      </c>
      <c r="B1492">
        <v>2</v>
      </c>
      <c r="C1492">
        <v>19</v>
      </c>
      <c r="D1492">
        <v>23</v>
      </c>
      <c r="E1492">
        <v>28</v>
      </c>
      <c r="F1492">
        <v>29</v>
      </c>
      <c r="G1492">
        <v>32</v>
      </c>
      <c r="H1492">
        <v>25</v>
      </c>
    </row>
    <row r="1493" spans="1:8" x14ac:dyDescent="0.2">
      <c r="A1493" s="1">
        <v>40108</v>
      </c>
      <c r="B1493">
        <v>13</v>
      </c>
      <c r="C1493">
        <v>31</v>
      </c>
      <c r="D1493">
        <v>34</v>
      </c>
      <c r="E1493">
        <v>35</v>
      </c>
      <c r="F1493">
        <v>40</v>
      </c>
      <c r="G1493">
        <v>43</v>
      </c>
      <c r="H1493">
        <v>1</v>
      </c>
    </row>
    <row r="1494" spans="1:8" x14ac:dyDescent="0.2">
      <c r="A1494" s="1">
        <v>40105</v>
      </c>
      <c r="B1494">
        <v>5</v>
      </c>
      <c r="C1494">
        <v>21</v>
      </c>
      <c r="D1494">
        <v>22</v>
      </c>
      <c r="E1494">
        <v>34</v>
      </c>
      <c r="F1494">
        <v>36</v>
      </c>
      <c r="G1494">
        <v>41</v>
      </c>
      <c r="H1494">
        <v>9</v>
      </c>
    </row>
    <row r="1495" spans="1:8" x14ac:dyDescent="0.2">
      <c r="A1495" s="1">
        <v>40101</v>
      </c>
      <c r="B1495">
        <v>7</v>
      </c>
      <c r="C1495">
        <v>22</v>
      </c>
      <c r="D1495">
        <v>23</v>
      </c>
      <c r="E1495">
        <v>36</v>
      </c>
      <c r="F1495">
        <v>37</v>
      </c>
      <c r="G1495">
        <v>45</v>
      </c>
      <c r="H1495">
        <v>31</v>
      </c>
    </row>
    <row r="1496" spans="1:8" x14ac:dyDescent="0.2">
      <c r="A1496" s="1">
        <v>40098</v>
      </c>
      <c r="B1496">
        <v>1</v>
      </c>
      <c r="C1496">
        <v>16</v>
      </c>
      <c r="D1496">
        <v>20</v>
      </c>
      <c r="E1496">
        <v>22</v>
      </c>
      <c r="F1496">
        <v>27</v>
      </c>
      <c r="G1496">
        <v>31</v>
      </c>
      <c r="H1496">
        <v>38</v>
      </c>
    </row>
    <row r="1497" spans="1:8" x14ac:dyDescent="0.2">
      <c r="A1497" s="1">
        <v>40094</v>
      </c>
      <c r="B1497">
        <v>11</v>
      </c>
      <c r="C1497">
        <v>13</v>
      </c>
      <c r="D1497">
        <v>18</v>
      </c>
      <c r="E1497">
        <v>21</v>
      </c>
      <c r="F1497">
        <v>30</v>
      </c>
      <c r="G1497">
        <v>31</v>
      </c>
      <c r="H1497">
        <v>34</v>
      </c>
    </row>
    <row r="1498" spans="1:8" x14ac:dyDescent="0.2">
      <c r="A1498" s="1">
        <v>40091</v>
      </c>
      <c r="B1498">
        <v>10</v>
      </c>
      <c r="C1498">
        <v>14</v>
      </c>
      <c r="D1498">
        <v>21</v>
      </c>
      <c r="E1498">
        <v>30</v>
      </c>
      <c r="F1498">
        <v>39</v>
      </c>
      <c r="G1498">
        <v>44</v>
      </c>
      <c r="H1498">
        <v>8</v>
      </c>
    </row>
    <row r="1499" spans="1:8" x14ac:dyDescent="0.2">
      <c r="A1499" s="1">
        <v>40087</v>
      </c>
      <c r="B1499">
        <v>7</v>
      </c>
      <c r="C1499">
        <v>10</v>
      </c>
      <c r="D1499">
        <v>31</v>
      </c>
      <c r="E1499">
        <v>33</v>
      </c>
      <c r="F1499">
        <v>43</v>
      </c>
      <c r="G1499">
        <v>45</v>
      </c>
      <c r="H1499">
        <v>22</v>
      </c>
    </row>
    <row r="1500" spans="1:8" x14ac:dyDescent="0.2">
      <c r="A1500" s="1">
        <v>40084</v>
      </c>
      <c r="B1500">
        <v>4</v>
      </c>
      <c r="C1500">
        <v>6</v>
      </c>
      <c r="D1500">
        <v>16</v>
      </c>
      <c r="E1500">
        <v>21</v>
      </c>
      <c r="F1500">
        <v>40</v>
      </c>
      <c r="G1500">
        <v>45</v>
      </c>
      <c r="H1500">
        <v>10</v>
      </c>
    </row>
    <row r="1501" spans="1:8" x14ac:dyDescent="0.2">
      <c r="A1501" s="1">
        <v>40081</v>
      </c>
      <c r="B1501">
        <v>2</v>
      </c>
      <c r="C1501">
        <v>4</v>
      </c>
      <c r="D1501">
        <v>22</v>
      </c>
      <c r="E1501">
        <v>29</v>
      </c>
      <c r="F1501">
        <v>31</v>
      </c>
      <c r="G1501">
        <v>39</v>
      </c>
      <c r="H1501">
        <v>37</v>
      </c>
    </row>
    <row r="1502" spans="1:8" x14ac:dyDescent="0.2">
      <c r="A1502" s="1">
        <v>40077</v>
      </c>
      <c r="B1502">
        <v>3</v>
      </c>
      <c r="C1502">
        <v>8</v>
      </c>
      <c r="D1502">
        <v>12</v>
      </c>
      <c r="E1502">
        <v>19</v>
      </c>
      <c r="F1502">
        <v>34</v>
      </c>
      <c r="G1502">
        <v>40</v>
      </c>
      <c r="H1502">
        <v>22</v>
      </c>
    </row>
    <row r="1503" spans="1:8" x14ac:dyDescent="0.2">
      <c r="A1503" s="1">
        <v>40073</v>
      </c>
      <c r="B1503">
        <v>1</v>
      </c>
      <c r="C1503">
        <v>8</v>
      </c>
      <c r="D1503">
        <v>10</v>
      </c>
      <c r="E1503">
        <v>29</v>
      </c>
      <c r="F1503">
        <v>36</v>
      </c>
      <c r="G1503">
        <v>38</v>
      </c>
      <c r="H1503">
        <v>34</v>
      </c>
    </row>
    <row r="1504" spans="1:8" x14ac:dyDescent="0.2">
      <c r="A1504" s="1">
        <v>40070</v>
      </c>
      <c r="B1504">
        <v>2</v>
      </c>
      <c r="C1504">
        <v>10</v>
      </c>
      <c r="D1504">
        <v>12</v>
      </c>
      <c r="E1504">
        <v>18</v>
      </c>
      <c r="F1504">
        <v>21</v>
      </c>
      <c r="G1504">
        <v>39</v>
      </c>
      <c r="H1504">
        <v>35</v>
      </c>
    </row>
    <row r="1505" spans="1:8" x14ac:dyDescent="0.2">
      <c r="A1505" s="1">
        <v>40066</v>
      </c>
      <c r="B1505">
        <v>2</v>
      </c>
      <c r="C1505">
        <v>25</v>
      </c>
      <c r="D1505">
        <v>29</v>
      </c>
      <c r="E1505">
        <v>36</v>
      </c>
      <c r="F1505">
        <v>37</v>
      </c>
      <c r="G1505">
        <v>40</v>
      </c>
      <c r="H1505">
        <v>19</v>
      </c>
    </row>
    <row r="1506" spans="1:8" x14ac:dyDescent="0.2">
      <c r="A1506" s="1">
        <v>40063</v>
      </c>
      <c r="B1506">
        <v>1</v>
      </c>
      <c r="C1506">
        <v>5</v>
      </c>
      <c r="D1506">
        <v>15</v>
      </c>
      <c r="E1506">
        <v>33</v>
      </c>
      <c r="F1506">
        <v>34</v>
      </c>
      <c r="G1506">
        <v>37</v>
      </c>
      <c r="H1506">
        <v>28</v>
      </c>
    </row>
    <row r="1507" spans="1:8" x14ac:dyDescent="0.2">
      <c r="A1507" s="1">
        <v>40059</v>
      </c>
      <c r="B1507">
        <v>2</v>
      </c>
      <c r="C1507">
        <v>6</v>
      </c>
      <c r="D1507">
        <v>25</v>
      </c>
      <c r="E1507">
        <v>30</v>
      </c>
      <c r="F1507">
        <v>31</v>
      </c>
      <c r="G1507">
        <v>33</v>
      </c>
      <c r="H1507">
        <v>44</v>
      </c>
    </row>
    <row r="1508" spans="1:8" x14ac:dyDescent="0.2">
      <c r="A1508" s="1">
        <v>40056</v>
      </c>
      <c r="B1508">
        <v>2</v>
      </c>
      <c r="C1508">
        <v>10</v>
      </c>
      <c r="D1508">
        <v>17</v>
      </c>
      <c r="E1508">
        <v>27</v>
      </c>
      <c r="F1508">
        <v>40</v>
      </c>
      <c r="G1508">
        <v>42</v>
      </c>
      <c r="H1508">
        <v>11</v>
      </c>
    </row>
    <row r="1509" spans="1:8" x14ac:dyDescent="0.2">
      <c r="A1509" s="1">
        <v>40052</v>
      </c>
      <c r="B1509">
        <v>6</v>
      </c>
      <c r="C1509">
        <v>7</v>
      </c>
      <c r="D1509">
        <v>9</v>
      </c>
      <c r="E1509">
        <v>19</v>
      </c>
      <c r="F1509">
        <v>32</v>
      </c>
      <c r="G1509">
        <v>41</v>
      </c>
      <c r="H1509">
        <v>8</v>
      </c>
    </row>
    <row r="1510" spans="1:8" x14ac:dyDescent="0.2">
      <c r="A1510" s="1">
        <v>40049</v>
      </c>
      <c r="B1510">
        <v>6</v>
      </c>
      <c r="C1510">
        <v>7</v>
      </c>
      <c r="D1510">
        <v>8</v>
      </c>
      <c r="E1510">
        <v>10</v>
      </c>
      <c r="F1510">
        <v>12</v>
      </c>
      <c r="G1510">
        <v>13</v>
      </c>
      <c r="H1510">
        <v>26</v>
      </c>
    </row>
    <row r="1511" spans="1:8" x14ac:dyDescent="0.2">
      <c r="A1511" s="1">
        <v>40045</v>
      </c>
      <c r="B1511">
        <v>3</v>
      </c>
      <c r="C1511">
        <v>10</v>
      </c>
      <c r="D1511">
        <v>12</v>
      </c>
      <c r="E1511">
        <v>13</v>
      </c>
      <c r="F1511">
        <v>16</v>
      </c>
      <c r="G1511">
        <v>29</v>
      </c>
      <c r="H1511">
        <v>17</v>
      </c>
    </row>
    <row r="1512" spans="1:8" x14ac:dyDescent="0.2">
      <c r="A1512" s="1">
        <v>40042</v>
      </c>
      <c r="B1512">
        <v>1</v>
      </c>
      <c r="C1512">
        <v>13</v>
      </c>
      <c r="D1512">
        <v>22</v>
      </c>
      <c r="E1512">
        <v>29</v>
      </c>
      <c r="F1512">
        <v>43</v>
      </c>
      <c r="G1512">
        <v>45</v>
      </c>
      <c r="H1512">
        <v>17</v>
      </c>
    </row>
    <row r="1513" spans="1:8" x14ac:dyDescent="0.2">
      <c r="A1513" s="1">
        <v>40038</v>
      </c>
      <c r="B1513">
        <v>1</v>
      </c>
      <c r="C1513">
        <v>23</v>
      </c>
      <c r="D1513">
        <v>37</v>
      </c>
      <c r="E1513">
        <v>38</v>
      </c>
      <c r="F1513">
        <v>39</v>
      </c>
      <c r="G1513">
        <v>42</v>
      </c>
      <c r="H1513">
        <v>40</v>
      </c>
    </row>
    <row r="1514" spans="1:8" x14ac:dyDescent="0.2">
      <c r="A1514" s="1">
        <v>40035</v>
      </c>
      <c r="B1514">
        <v>15</v>
      </c>
      <c r="C1514">
        <v>20</v>
      </c>
      <c r="D1514">
        <v>22</v>
      </c>
      <c r="E1514">
        <v>23</v>
      </c>
      <c r="F1514">
        <v>29</v>
      </c>
      <c r="G1514">
        <v>33</v>
      </c>
      <c r="H1514">
        <v>28</v>
      </c>
    </row>
    <row r="1515" spans="1:8" x14ac:dyDescent="0.2">
      <c r="A1515" s="1">
        <v>40031</v>
      </c>
      <c r="B1515">
        <v>1</v>
      </c>
      <c r="C1515">
        <v>6</v>
      </c>
      <c r="D1515">
        <v>7</v>
      </c>
      <c r="E1515">
        <v>8</v>
      </c>
      <c r="F1515">
        <v>19</v>
      </c>
      <c r="G1515">
        <v>31</v>
      </c>
      <c r="H1515">
        <v>33</v>
      </c>
    </row>
    <row r="1516" spans="1:8" x14ac:dyDescent="0.2">
      <c r="A1516" s="1">
        <v>40028</v>
      </c>
      <c r="B1516">
        <v>11</v>
      </c>
      <c r="C1516">
        <v>21</v>
      </c>
      <c r="D1516">
        <v>23</v>
      </c>
      <c r="E1516">
        <v>31</v>
      </c>
      <c r="F1516">
        <v>33</v>
      </c>
      <c r="G1516">
        <v>44</v>
      </c>
      <c r="H1516">
        <v>6</v>
      </c>
    </row>
    <row r="1517" spans="1:8" x14ac:dyDescent="0.2">
      <c r="A1517" s="1">
        <v>40024</v>
      </c>
      <c r="B1517">
        <v>1</v>
      </c>
      <c r="C1517">
        <v>8</v>
      </c>
      <c r="D1517">
        <v>12</v>
      </c>
      <c r="E1517">
        <v>22</v>
      </c>
      <c r="F1517">
        <v>24</v>
      </c>
      <c r="G1517">
        <v>35</v>
      </c>
      <c r="H1517">
        <v>45</v>
      </c>
    </row>
    <row r="1518" spans="1:8" x14ac:dyDescent="0.2">
      <c r="A1518" s="1">
        <v>40021</v>
      </c>
      <c r="B1518">
        <v>4</v>
      </c>
      <c r="C1518">
        <v>11</v>
      </c>
      <c r="D1518">
        <v>32</v>
      </c>
      <c r="E1518">
        <v>36</v>
      </c>
      <c r="F1518">
        <v>39</v>
      </c>
      <c r="G1518">
        <v>42</v>
      </c>
      <c r="H1518">
        <v>12</v>
      </c>
    </row>
    <row r="1519" spans="1:8" x14ac:dyDescent="0.2">
      <c r="A1519" s="1">
        <v>40017</v>
      </c>
      <c r="B1519">
        <v>15</v>
      </c>
      <c r="C1519">
        <v>24</v>
      </c>
      <c r="D1519">
        <v>25</v>
      </c>
      <c r="E1519">
        <v>32</v>
      </c>
      <c r="F1519">
        <v>33</v>
      </c>
      <c r="G1519">
        <v>44</v>
      </c>
      <c r="H1519">
        <v>29</v>
      </c>
    </row>
    <row r="1520" spans="1:8" x14ac:dyDescent="0.2">
      <c r="A1520" s="1">
        <v>40014</v>
      </c>
      <c r="B1520">
        <v>12</v>
      </c>
      <c r="C1520">
        <v>26</v>
      </c>
      <c r="D1520">
        <v>28</v>
      </c>
      <c r="E1520">
        <v>37</v>
      </c>
      <c r="F1520">
        <v>38</v>
      </c>
      <c r="G1520">
        <v>39</v>
      </c>
      <c r="H1520">
        <v>1</v>
      </c>
    </row>
    <row r="1521" spans="1:8" x14ac:dyDescent="0.2">
      <c r="A1521" s="1">
        <v>40010</v>
      </c>
      <c r="B1521">
        <v>10</v>
      </c>
      <c r="C1521">
        <v>20</v>
      </c>
      <c r="D1521">
        <v>30</v>
      </c>
      <c r="E1521">
        <v>31</v>
      </c>
      <c r="F1521">
        <v>39</v>
      </c>
      <c r="G1521">
        <v>45</v>
      </c>
      <c r="H1521">
        <v>6</v>
      </c>
    </row>
    <row r="1522" spans="1:8" x14ac:dyDescent="0.2">
      <c r="A1522" s="1">
        <v>40007</v>
      </c>
      <c r="B1522">
        <v>25</v>
      </c>
      <c r="C1522">
        <v>26</v>
      </c>
      <c r="D1522">
        <v>32</v>
      </c>
      <c r="E1522">
        <v>36</v>
      </c>
      <c r="F1522">
        <v>42</v>
      </c>
      <c r="G1522">
        <v>43</v>
      </c>
      <c r="H1522">
        <v>3</v>
      </c>
    </row>
    <row r="1523" spans="1:8" x14ac:dyDescent="0.2">
      <c r="A1523" s="1">
        <v>40003</v>
      </c>
      <c r="B1523">
        <v>11</v>
      </c>
      <c r="C1523">
        <v>13</v>
      </c>
      <c r="D1523">
        <v>21</v>
      </c>
      <c r="E1523">
        <v>32</v>
      </c>
      <c r="F1523">
        <v>35</v>
      </c>
      <c r="G1523">
        <v>44</v>
      </c>
      <c r="H1523">
        <v>18</v>
      </c>
    </row>
    <row r="1524" spans="1:8" x14ac:dyDescent="0.2">
      <c r="A1524" s="1">
        <v>40000</v>
      </c>
      <c r="B1524">
        <v>14</v>
      </c>
      <c r="C1524">
        <v>16</v>
      </c>
      <c r="D1524">
        <v>17</v>
      </c>
      <c r="E1524">
        <v>29</v>
      </c>
      <c r="F1524">
        <v>32</v>
      </c>
      <c r="G1524">
        <v>34</v>
      </c>
      <c r="H1524">
        <v>45</v>
      </c>
    </row>
    <row r="1525" spans="1:8" x14ac:dyDescent="0.2">
      <c r="A1525" s="1">
        <v>39996</v>
      </c>
      <c r="B1525">
        <v>1</v>
      </c>
      <c r="C1525">
        <v>3</v>
      </c>
      <c r="D1525">
        <v>5</v>
      </c>
      <c r="E1525">
        <v>14</v>
      </c>
      <c r="F1525">
        <v>15</v>
      </c>
      <c r="G1525">
        <v>25</v>
      </c>
      <c r="H1525">
        <v>16</v>
      </c>
    </row>
    <row r="1526" spans="1:8" x14ac:dyDescent="0.2">
      <c r="A1526" s="1">
        <v>39993</v>
      </c>
      <c r="B1526">
        <v>7</v>
      </c>
      <c r="C1526">
        <v>10</v>
      </c>
      <c r="D1526">
        <v>22</v>
      </c>
      <c r="E1526">
        <v>24</v>
      </c>
      <c r="F1526">
        <v>29</v>
      </c>
      <c r="G1526">
        <v>30</v>
      </c>
      <c r="H1526">
        <v>4</v>
      </c>
    </row>
    <row r="1527" spans="1:8" x14ac:dyDescent="0.2">
      <c r="A1527" s="1">
        <v>39989</v>
      </c>
      <c r="B1527">
        <v>5</v>
      </c>
      <c r="C1527">
        <v>18</v>
      </c>
      <c r="D1527">
        <v>23</v>
      </c>
      <c r="E1527">
        <v>34</v>
      </c>
      <c r="F1527">
        <v>37</v>
      </c>
      <c r="G1527">
        <v>40</v>
      </c>
      <c r="H1527">
        <v>12</v>
      </c>
    </row>
    <row r="1528" spans="1:8" x14ac:dyDescent="0.2">
      <c r="A1528" s="1">
        <v>39986</v>
      </c>
      <c r="B1528">
        <v>5</v>
      </c>
      <c r="C1528">
        <v>11</v>
      </c>
      <c r="D1528">
        <v>16</v>
      </c>
      <c r="E1528">
        <v>19</v>
      </c>
      <c r="F1528">
        <v>28</v>
      </c>
      <c r="G1528">
        <v>31</v>
      </c>
      <c r="H1528">
        <v>14</v>
      </c>
    </row>
    <row r="1529" spans="1:8" x14ac:dyDescent="0.2">
      <c r="A1529" s="1">
        <v>39982</v>
      </c>
      <c r="B1529">
        <v>21</v>
      </c>
      <c r="C1529">
        <v>22</v>
      </c>
      <c r="D1529">
        <v>23</v>
      </c>
      <c r="E1529">
        <v>29</v>
      </c>
      <c r="F1529">
        <v>34</v>
      </c>
      <c r="G1529">
        <v>36</v>
      </c>
      <c r="H1529">
        <v>20</v>
      </c>
    </row>
    <row r="1530" spans="1:8" x14ac:dyDescent="0.2">
      <c r="A1530" s="1">
        <v>39979</v>
      </c>
      <c r="B1530">
        <v>1</v>
      </c>
      <c r="C1530">
        <v>20</v>
      </c>
      <c r="D1530">
        <v>23</v>
      </c>
      <c r="E1530">
        <v>27</v>
      </c>
      <c r="F1530">
        <v>35</v>
      </c>
      <c r="G1530">
        <v>41</v>
      </c>
      <c r="H1530">
        <v>5</v>
      </c>
    </row>
    <row r="1531" spans="1:8" x14ac:dyDescent="0.2">
      <c r="A1531" s="1">
        <v>39975</v>
      </c>
      <c r="B1531">
        <v>2</v>
      </c>
      <c r="C1531">
        <v>16</v>
      </c>
      <c r="D1531">
        <v>23</v>
      </c>
      <c r="E1531">
        <v>35</v>
      </c>
      <c r="F1531">
        <v>40</v>
      </c>
      <c r="G1531">
        <v>42</v>
      </c>
      <c r="H1531">
        <v>17</v>
      </c>
    </row>
    <row r="1532" spans="1:8" x14ac:dyDescent="0.2">
      <c r="A1532" s="1">
        <v>39972</v>
      </c>
      <c r="B1532">
        <v>10</v>
      </c>
      <c r="C1532">
        <v>12</v>
      </c>
      <c r="D1532">
        <v>17</v>
      </c>
      <c r="E1532">
        <v>24</v>
      </c>
      <c r="F1532">
        <v>40</v>
      </c>
      <c r="G1532">
        <v>42</v>
      </c>
      <c r="H1532">
        <v>7</v>
      </c>
    </row>
    <row r="1533" spans="1:8" x14ac:dyDescent="0.2">
      <c r="A1533" s="1">
        <v>39968</v>
      </c>
      <c r="B1533">
        <v>3</v>
      </c>
      <c r="C1533">
        <v>22</v>
      </c>
      <c r="D1533">
        <v>24</v>
      </c>
      <c r="E1533">
        <v>28</v>
      </c>
      <c r="F1533">
        <v>29</v>
      </c>
      <c r="G1533">
        <v>32</v>
      </c>
      <c r="H1533">
        <v>37</v>
      </c>
    </row>
    <row r="1534" spans="1:8" x14ac:dyDescent="0.2">
      <c r="A1534" s="1">
        <v>39965</v>
      </c>
      <c r="B1534">
        <v>4</v>
      </c>
      <c r="C1534">
        <v>24</v>
      </c>
      <c r="D1534">
        <v>26</v>
      </c>
      <c r="E1534">
        <v>30</v>
      </c>
      <c r="F1534">
        <v>31</v>
      </c>
      <c r="G1534">
        <v>38</v>
      </c>
      <c r="H1534">
        <v>41</v>
      </c>
    </row>
    <row r="1535" spans="1:8" x14ac:dyDescent="0.2">
      <c r="A1535" s="1">
        <v>39961</v>
      </c>
      <c r="B1535">
        <v>2</v>
      </c>
      <c r="C1535">
        <v>4</v>
      </c>
      <c r="D1535">
        <v>19</v>
      </c>
      <c r="E1535">
        <v>21</v>
      </c>
      <c r="F1535">
        <v>22</v>
      </c>
      <c r="G1535">
        <v>31</v>
      </c>
      <c r="H1535">
        <v>8</v>
      </c>
    </row>
    <row r="1536" spans="1:8" x14ac:dyDescent="0.2">
      <c r="A1536" s="1">
        <v>39958</v>
      </c>
      <c r="B1536">
        <v>7</v>
      </c>
      <c r="C1536">
        <v>8</v>
      </c>
      <c r="D1536">
        <v>21</v>
      </c>
      <c r="E1536">
        <v>26</v>
      </c>
      <c r="F1536">
        <v>30</v>
      </c>
      <c r="G1536">
        <v>45</v>
      </c>
      <c r="H1536">
        <v>15</v>
      </c>
    </row>
    <row r="1537" spans="1:8" x14ac:dyDescent="0.2">
      <c r="A1537" s="1">
        <v>39955</v>
      </c>
      <c r="B1537">
        <v>12</v>
      </c>
      <c r="C1537">
        <v>16</v>
      </c>
      <c r="D1537">
        <v>23</v>
      </c>
      <c r="E1537">
        <v>24</v>
      </c>
      <c r="F1537">
        <v>30</v>
      </c>
      <c r="G1537">
        <v>31</v>
      </c>
      <c r="H1537">
        <v>25</v>
      </c>
    </row>
    <row r="1538" spans="1:8" x14ac:dyDescent="0.2">
      <c r="A1538" s="1">
        <v>39951</v>
      </c>
      <c r="B1538">
        <v>13</v>
      </c>
      <c r="C1538">
        <v>16</v>
      </c>
      <c r="D1538">
        <v>27</v>
      </c>
      <c r="E1538">
        <v>31</v>
      </c>
      <c r="F1538">
        <v>35</v>
      </c>
      <c r="G1538">
        <v>45</v>
      </c>
      <c r="H1538">
        <v>32</v>
      </c>
    </row>
    <row r="1539" spans="1:8" x14ac:dyDescent="0.2">
      <c r="A1539" s="1">
        <v>39947</v>
      </c>
      <c r="B1539">
        <v>9</v>
      </c>
      <c r="C1539">
        <v>12</v>
      </c>
      <c r="D1539">
        <v>17</v>
      </c>
      <c r="E1539">
        <v>28</v>
      </c>
      <c r="F1539">
        <v>29</v>
      </c>
      <c r="G1539">
        <v>30</v>
      </c>
      <c r="H1539">
        <v>32</v>
      </c>
    </row>
    <row r="1540" spans="1:8" x14ac:dyDescent="0.2">
      <c r="A1540" s="1">
        <v>39944</v>
      </c>
      <c r="B1540">
        <v>3</v>
      </c>
      <c r="C1540">
        <v>11</v>
      </c>
      <c r="D1540">
        <v>14</v>
      </c>
      <c r="E1540">
        <v>24</v>
      </c>
      <c r="F1540">
        <v>26</v>
      </c>
      <c r="G1540">
        <v>37</v>
      </c>
      <c r="H1540">
        <v>33</v>
      </c>
    </row>
    <row r="1541" spans="1:8" x14ac:dyDescent="0.2">
      <c r="A1541" s="1">
        <v>39940</v>
      </c>
      <c r="B1541">
        <v>5</v>
      </c>
      <c r="C1541">
        <v>17</v>
      </c>
      <c r="D1541">
        <v>29</v>
      </c>
      <c r="E1541">
        <v>31</v>
      </c>
      <c r="F1541">
        <v>42</v>
      </c>
      <c r="G1541">
        <v>45</v>
      </c>
      <c r="H1541">
        <v>10</v>
      </c>
    </row>
    <row r="1542" spans="1:8" x14ac:dyDescent="0.2">
      <c r="A1542" s="1">
        <v>39937</v>
      </c>
      <c r="B1542">
        <v>2</v>
      </c>
      <c r="C1542">
        <v>3</v>
      </c>
      <c r="D1542">
        <v>4</v>
      </c>
      <c r="E1542">
        <v>13</v>
      </c>
      <c r="F1542">
        <v>16</v>
      </c>
      <c r="G1542">
        <v>42</v>
      </c>
      <c r="H1542">
        <v>35</v>
      </c>
    </row>
    <row r="1543" spans="1:8" x14ac:dyDescent="0.2">
      <c r="A1543" s="1">
        <v>39933</v>
      </c>
      <c r="B1543">
        <v>9</v>
      </c>
      <c r="C1543">
        <v>15</v>
      </c>
      <c r="D1543">
        <v>18</v>
      </c>
      <c r="E1543">
        <v>29</v>
      </c>
      <c r="F1543">
        <v>41</v>
      </c>
      <c r="G1543">
        <v>43</v>
      </c>
      <c r="H1543">
        <v>1</v>
      </c>
    </row>
    <row r="1544" spans="1:8" x14ac:dyDescent="0.2">
      <c r="A1544" s="1">
        <v>39930</v>
      </c>
      <c r="B1544">
        <v>8</v>
      </c>
      <c r="C1544">
        <v>20</v>
      </c>
      <c r="D1544">
        <v>30</v>
      </c>
      <c r="E1544">
        <v>31</v>
      </c>
      <c r="F1544">
        <v>37</v>
      </c>
      <c r="G1544">
        <v>38</v>
      </c>
      <c r="H1544">
        <v>9</v>
      </c>
    </row>
    <row r="1545" spans="1:8" x14ac:dyDescent="0.2">
      <c r="A1545" s="1">
        <v>39926</v>
      </c>
      <c r="B1545">
        <v>4</v>
      </c>
      <c r="C1545">
        <v>18</v>
      </c>
      <c r="D1545">
        <v>27</v>
      </c>
      <c r="E1545">
        <v>30</v>
      </c>
      <c r="F1545">
        <v>32</v>
      </c>
      <c r="G1545">
        <v>42</v>
      </c>
      <c r="H1545">
        <v>15</v>
      </c>
    </row>
    <row r="1546" spans="1:8" x14ac:dyDescent="0.2">
      <c r="A1546" s="1">
        <v>39923</v>
      </c>
      <c r="B1546">
        <v>4</v>
      </c>
      <c r="C1546">
        <v>15</v>
      </c>
      <c r="D1546">
        <v>18</v>
      </c>
      <c r="E1546">
        <v>20</v>
      </c>
      <c r="F1546">
        <v>41</v>
      </c>
      <c r="G1546">
        <v>43</v>
      </c>
      <c r="H1546">
        <v>17</v>
      </c>
    </row>
    <row r="1547" spans="1:8" x14ac:dyDescent="0.2">
      <c r="A1547" s="1">
        <v>39919</v>
      </c>
      <c r="B1547">
        <v>7</v>
      </c>
      <c r="C1547">
        <v>16</v>
      </c>
      <c r="D1547">
        <v>18</v>
      </c>
      <c r="E1547">
        <v>31</v>
      </c>
      <c r="F1547">
        <v>34</v>
      </c>
      <c r="G1547">
        <v>42</v>
      </c>
      <c r="H1547">
        <v>10</v>
      </c>
    </row>
    <row r="1548" spans="1:8" x14ac:dyDescent="0.2">
      <c r="A1548" s="1">
        <v>39916</v>
      </c>
      <c r="B1548">
        <v>17</v>
      </c>
      <c r="C1548">
        <v>18</v>
      </c>
      <c r="D1548">
        <v>23</v>
      </c>
      <c r="E1548">
        <v>24</v>
      </c>
      <c r="F1548">
        <v>29</v>
      </c>
      <c r="G1548">
        <v>30</v>
      </c>
      <c r="H1548">
        <v>38</v>
      </c>
    </row>
    <row r="1549" spans="1:8" x14ac:dyDescent="0.2">
      <c r="A1549" s="1">
        <v>39912</v>
      </c>
      <c r="B1549">
        <v>20</v>
      </c>
      <c r="C1549">
        <v>26</v>
      </c>
      <c r="D1549">
        <v>34</v>
      </c>
      <c r="E1549">
        <v>36</v>
      </c>
      <c r="F1549">
        <v>37</v>
      </c>
      <c r="G1549">
        <v>39</v>
      </c>
      <c r="H1549">
        <v>29</v>
      </c>
    </row>
    <row r="1550" spans="1:8" x14ac:dyDescent="0.2">
      <c r="A1550" s="1">
        <v>39909</v>
      </c>
      <c r="B1550">
        <v>7</v>
      </c>
      <c r="C1550">
        <v>15</v>
      </c>
      <c r="D1550">
        <v>26</v>
      </c>
      <c r="E1550">
        <v>28</v>
      </c>
      <c r="F1550">
        <v>34</v>
      </c>
      <c r="G1550">
        <v>40</v>
      </c>
      <c r="H1550">
        <v>19</v>
      </c>
    </row>
    <row r="1551" spans="1:8" x14ac:dyDescent="0.2">
      <c r="A1551" s="1">
        <v>39905</v>
      </c>
      <c r="B1551">
        <v>17</v>
      </c>
      <c r="C1551">
        <v>20</v>
      </c>
      <c r="D1551">
        <v>22</v>
      </c>
      <c r="E1551">
        <v>31</v>
      </c>
      <c r="F1551">
        <v>34</v>
      </c>
      <c r="G1551">
        <v>45</v>
      </c>
      <c r="H1551">
        <v>6</v>
      </c>
    </row>
    <row r="1552" spans="1:8" x14ac:dyDescent="0.2">
      <c r="A1552" s="1">
        <v>39902</v>
      </c>
      <c r="B1552">
        <v>4</v>
      </c>
      <c r="C1552">
        <v>6</v>
      </c>
      <c r="D1552">
        <v>20</v>
      </c>
      <c r="E1552">
        <v>21</v>
      </c>
      <c r="F1552">
        <v>32</v>
      </c>
      <c r="G1552">
        <v>44</v>
      </c>
      <c r="H1552">
        <v>18</v>
      </c>
    </row>
    <row r="1553" spans="1:8" x14ac:dyDescent="0.2">
      <c r="A1553" s="1">
        <v>39898</v>
      </c>
      <c r="B1553">
        <v>14</v>
      </c>
      <c r="C1553">
        <v>21</v>
      </c>
      <c r="D1553">
        <v>23</v>
      </c>
      <c r="E1553">
        <v>32</v>
      </c>
      <c r="F1553">
        <v>36</v>
      </c>
      <c r="G1553">
        <v>40</v>
      </c>
      <c r="H1553">
        <v>8</v>
      </c>
    </row>
    <row r="1554" spans="1:8" x14ac:dyDescent="0.2">
      <c r="A1554" s="1">
        <v>39895</v>
      </c>
      <c r="B1554">
        <v>8</v>
      </c>
      <c r="C1554">
        <v>14</v>
      </c>
      <c r="D1554">
        <v>20</v>
      </c>
      <c r="E1554">
        <v>30</v>
      </c>
      <c r="F1554">
        <v>38</v>
      </c>
      <c r="G1554">
        <v>45</v>
      </c>
      <c r="H1554">
        <v>17</v>
      </c>
    </row>
    <row r="1555" spans="1:8" x14ac:dyDescent="0.2">
      <c r="A1555" s="1">
        <v>39891</v>
      </c>
      <c r="B1555">
        <v>16</v>
      </c>
      <c r="C1555">
        <v>26</v>
      </c>
      <c r="D1555">
        <v>29</v>
      </c>
      <c r="E1555">
        <v>31</v>
      </c>
      <c r="F1555">
        <v>40</v>
      </c>
      <c r="G1555">
        <v>44</v>
      </c>
      <c r="H1555">
        <v>14</v>
      </c>
    </row>
    <row r="1556" spans="1:8" x14ac:dyDescent="0.2">
      <c r="A1556" s="1">
        <v>39888</v>
      </c>
      <c r="B1556">
        <v>2</v>
      </c>
      <c r="C1556">
        <v>15</v>
      </c>
      <c r="D1556">
        <v>16</v>
      </c>
      <c r="E1556">
        <v>24</v>
      </c>
      <c r="F1556">
        <v>33</v>
      </c>
      <c r="G1556">
        <v>42</v>
      </c>
      <c r="H1556">
        <v>39</v>
      </c>
    </row>
    <row r="1557" spans="1:8" x14ac:dyDescent="0.2">
      <c r="A1557" s="1">
        <v>39884</v>
      </c>
      <c r="B1557">
        <v>4</v>
      </c>
      <c r="C1557">
        <v>16</v>
      </c>
      <c r="D1557">
        <v>22</v>
      </c>
      <c r="E1557">
        <v>31</v>
      </c>
      <c r="F1557">
        <v>36</v>
      </c>
      <c r="G1557">
        <v>40</v>
      </c>
      <c r="H1557">
        <v>20</v>
      </c>
    </row>
    <row r="1558" spans="1:8" x14ac:dyDescent="0.2">
      <c r="A1558" s="1">
        <v>39881</v>
      </c>
      <c r="B1558">
        <v>3</v>
      </c>
      <c r="C1558">
        <v>4</v>
      </c>
      <c r="D1558">
        <v>10</v>
      </c>
      <c r="E1558">
        <v>12</v>
      </c>
      <c r="F1558">
        <v>30</v>
      </c>
      <c r="G1558">
        <v>31</v>
      </c>
      <c r="H1558">
        <v>9</v>
      </c>
    </row>
    <row r="1559" spans="1:8" x14ac:dyDescent="0.2">
      <c r="A1559" s="1">
        <v>39877</v>
      </c>
      <c r="B1559">
        <v>5</v>
      </c>
      <c r="C1559">
        <v>6</v>
      </c>
      <c r="D1559">
        <v>22</v>
      </c>
      <c r="E1559">
        <v>33</v>
      </c>
      <c r="F1559">
        <v>34</v>
      </c>
      <c r="G1559">
        <v>45</v>
      </c>
      <c r="H1559">
        <v>44</v>
      </c>
    </row>
    <row r="1560" spans="1:8" x14ac:dyDescent="0.2">
      <c r="A1560" s="1">
        <v>39874</v>
      </c>
      <c r="B1560">
        <v>1</v>
      </c>
      <c r="C1560">
        <v>19</v>
      </c>
      <c r="D1560">
        <v>22</v>
      </c>
      <c r="E1560">
        <v>28</v>
      </c>
      <c r="F1560">
        <v>32</v>
      </c>
      <c r="G1560">
        <v>45</v>
      </c>
      <c r="H1560">
        <v>13</v>
      </c>
    </row>
    <row r="1561" spans="1:8" x14ac:dyDescent="0.2">
      <c r="A1561" s="1">
        <v>39870</v>
      </c>
      <c r="B1561">
        <v>6</v>
      </c>
      <c r="C1561">
        <v>10</v>
      </c>
      <c r="D1561">
        <v>13</v>
      </c>
      <c r="E1561">
        <v>32</v>
      </c>
      <c r="F1561">
        <v>33</v>
      </c>
      <c r="G1561">
        <v>35</v>
      </c>
      <c r="H1561">
        <v>15</v>
      </c>
    </row>
    <row r="1562" spans="1:8" x14ac:dyDescent="0.2">
      <c r="A1562" s="1">
        <v>39867</v>
      </c>
      <c r="B1562">
        <v>2</v>
      </c>
      <c r="C1562">
        <v>5</v>
      </c>
      <c r="D1562">
        <v>9</v>
      </c>
      <c r="E1562">
        <v>11</v>
      </c>
      <c r="F1562">
        <v>14</v>
      </c>
      <c r="G1562">
        <v>27</v>
      </c>
      <c r="H1562">
        <v>19</v>
      </c>
    </row>
    <row r="1563" spans="1:8" x14ac:dyDescent="0.2">
      <c r="A1563" s="1">
        <v>39863</v>
      </c>
      <c r="B1563">
        <v>9</v>
      </c>
      <c r="C1563">
        <v>14</v>
      </c>
      <c r="D1563">
        <v>33</v>
      </c>
      <c r="E1563">
        <v>34</v>
      </c>
      <c r="F1563">
        <v>39</v>
      </c>
      <c r="G1563">
        <v>44</v>
      </c>
      <c r="H1563">
        <v>35</v>
      </c>
    </row>
    <row r="1564" spans="1:8" x14ac:dyDescent="0.2">
      <c r="A1564" s="1">
        <v>39860</v>
      </c>
      <c r="B1564">
        <v>4</v>
      </c>
      <c r="C1564">
        <v>9</v>
      </c>
      <c r="D1564">
        <v>21</v>
      </c>
      <c r="E1564">
        <v>25</v>
      </c>
      <c r="F1564">
        <v>41</v>
      </c>
      <c r="G1564">
        <v>45</v>
      </c>
      <c r="H1564">
        <v>37</v>
      </c>
    </row>
    <row r="1565" spans="1:8" x14ac:dyDescent="0.2">
      <c r="A1565" s="1">
        <v>39856</v>
      </c>
      <c r="B1565">
        <v>2</v>
      </c>
      <c r="C1565">
        <v>11</v>
      </c>
      <c r="D1565">
        <v>17</v>
      </c>
      <c r="E1565">
        <v>24</v>
      </c>
      <c r="F1565">
        <v>30</v>
      </c>
      <c r="G1565">
        <v>36</v>
      </c>
      <c r="H1565">
        <v>45</v>
      </c>
    </row>
    <row r="1566" spans="1:8" x14ac:dyDescent="0.2">
      <c r="A1566" s="1">
        <v>39853</v>
      </c>
      <c r="B1566">
        <v>5</v>
      </c>
      <c r="C1566">
        <v>10</v>
      </c>
      <c r="D1566">
        <v>20</v>
      </c>
      <c r="E1566">
        <v>24</v>
      </c>
      <c r="F1566">
        <v>29</v>
      </c>
      <c r="G1566">
        <v>31</v>
      </c>
      <c r="H1566">
        <v>36</v>
      </c>
    </row>
    <row r="1567" spans="1:8" x14ac:dyDescent="0.2">
      <c r="A1567" s="1">
        <v>39850</v>
      </c>
      <c r="B1567">
        <v>6</v>
      </c>
      <c r="C1567">
        <v>14</v>
      </c>
      <c r="D1567">
        <v>15</v>
      </c>
      <c r="E1567">
        <v>28</v>
      </c>
      <c r="F1567">
        <v>37</v>
      </c>
      <c r="G1567">
        <v>43</v>
      </c>
      <c r="H1567">
        <v>24</v>
      </c>
    </row>
    <row r="1568" spans="1:8" x14ac:dyDescent="0.2">
      <c r="A1568" s="1">
        <v>39846</v>
      </c>
      <c r="B1568">
        <v>5</v>
      </c>
      <c r="C1568">
        <v>13</v>
      </c>
      <c r="D1568">
        <v>16</v>
      </c>
      <c r="E1568">
        <v>27</v>
      </c>
      <c r="F1568">
        <v>41</v>
      </c>
      <c r="G1568">
        <v>43</v>
      </c>
      <c r="H1568">
        <v>7</v>
      </c>
    </row>
    <row r="1569" spans="1:8" x14ac:dyDescent="0.2">
      <c r="A1569" s="1">
        <v>39842</v>
      </c>
      <c r="B1569">
        <v>3</v>
      </c>
      <c r="C1569">
        <v>13</v>
      </c>
      <c r="D1569">
        <v>16</v>
      </c>
      <c r="E1569">
        <v>22</v>
      </c>
      <c r="F1569">
        <v>31</v>
      </c>
      <c r="G1569">
        <v>32</v>
      </c>
      <c r="H1569">
        <v>43</v>
      </c>
    </row>
    <row r="1570" spans="1:8" x14ac:dyDescent="0.2">
      <c r="A1570" s="1">
        <v>39839</v>
      </c>
      <c r="B1570">
        <v>3</v>
      </c>
      <c r="C1570">
        <v>4</v>
      </c>
      <c r="D1570">
        <v>11</v>
      </c>
      <c r="E1570">
        <v>16</v>
      </c>
      <c r="F1570">
        <v>41</v>
      </c>
      <c r="G1570">
        <v>44</v>
      </c>
      <c r="H1570">
        <v>1</v>
      </c>
    </row>
    <row r="1571" spans="1:8" x14ac:dyDescent="0.2">
      <c r="A1571" s="1">
        <v>39835</v>
      </c>
      <c r="B1571">
        <v>15</v>
      </c>
      <c r="C1571">
        <v>20</v>
      </c>
      <c r="D1571">
        <v>29</v>
      </c>
      <c r="E1571">
        <v>33</v>
      </c>
      <c r="F1571">
        <v>39</v>
      </c>
      <c r="G1571">
        <v>43</v>
      </c>
      <c r="H1571">
        <v>44</v>
      </c>
    </row>
    <row r="1572" spans="1:8" x14ac:dyDescent="0.2">
      <c r="A1572" s="1">
        <v>39832</v>
      </c>
      <c r="B1572">
        <v>3</v>
      </c>
      <c r="C1572">
        <v>8</v>
      </c>
      <c r="D1572">
        <v>25</v>
      </c>
      <c r="E1572">
        <v>30</v>
      </c>
      <c r="F1572">
        <v>31</v>
      </c>
      <c r="G1572">
        <v>45</v>
      </c>
      <c r="H1572">
        <v>21</v>
      </c>
    </row>
    <row r="1573" spans="1:8" x14ac:dyDescent="0.2">
      <c r="A1573" s="1">
        <v>39828</v>
      </c>
      <c r="B1573">
        <v>5</v>
      </c>
      <c r="C1573">
        <v>15</v>
      </c>
      <c r="D1573">
        <v>18</v>
      </c>
      <c r="E1573">
        <v>19</v>
      </c>
      <c r="F1573">
        <v>33</v>
      </c>
      <c r="G1573">
        <v>43</v>
      </c>
      <c r="H1573">
        <v>30</v>
      </c>
    </row>
    <row r="1574" spans="1:8" x14ac:dyDescent="0.2">
      <c r="A1574" s="1">
        <v>39825</v>
      </c>
      <c r="B1574">
        <v>2</v>
      </c>
      <c r="C1574">
        <v>5</v>
      </c>
      <c r="D1574">
        <v>6</v>
      </c>
      <c r="E1574">
        <v>15</v>
      </c>
      <c r="F1574">
        <v>28</v>
      </c>
      <c r="G1574">
        <v>36</v>
      </c>
      <c r="H1574">
        <v>16</v>
      </c>
    </row>
    <row r="1575" spans="1:8" x14ac:dyDescent="0.2">
      <c r="A1575" s="1">
        <v>39821</v>
      </c>
      <c r="B1575">
        <v>6</v>
      </c>
      <c r="C1575">
        <v>21</v>
      </c>
      <c r="D1575">
        <v>23</v>
      </c>
      <c r="E1575">
        <v>28</v>
      </c>
      <c r="F1575">
        <v>30</v>
      </c>
      <c r="G1575">
        <v>34</v>
      </c>
      <c r="H1575">
        <v>39</v>
      </c>
    </row>
    <row r="1576" spans="1:8" x14ac:dyDescent="0.2">
      <c r="A1576" s="1">
        <v>39818</v>
      </c>
      <c r="B1576">
        <v>4</v>
      </c>
      <c r="C1576">
        <v>6</v>
      </c>
      <c r="D1576">
        <v>8</v>
      </c>
      <c r="E1576">
        <v>18</v>
      </c>
      <c r="F1576">
        <v>27</v>
      </c>
      <c r="G1576">
        <v>44</v>
      </c>
      <c r="H1576">
        <v>13</v>
      </c>
    </row>
    <row r="1577" spans="1:8" x14ac:dyDescent="0.2">
      <c r="A1577" s="1">
        <v>39814</v>
      </c>
      <c r="B1577">
        <v>3</v>
      </c>
      <c r="C1577">
        <v>4</v>
      </c>
      <c r="D1577">
        <v>12</v>
      </c>
      <c r="E1577">
        <v>22</v>
      </c>
      <c r="F1577">
        <v>27</v>
      </c>
      <c r="G1577">
        <v>39</v>
      </c>
      <c r="H1577">
        <v>37</v>
      </c>
    </row>
    <row r="1578" spans="1:8" x14ac:dyDescent="0.2">
      <c r="A1578" s="1">
        <v>39811</v>
      </c>
      <c r="B1578">
        <v>2</v>
      </c>
      <c r="C1578">
        <v>3</v>
      </c>
      <c r="D1578">
        <v>14</v>
      </c>
      <c r="E1578">
        <v>25</v>
      </c>
      <c r="F1578">
        <v>27</v>
      </c>
      <c r="G1578">
        <v>38</v>
      </c>
      <c r="H1578">
        <v>1</v>
      </c>
    </row>
    <row r="1579" spans="1:8" x14ac:dyDescent="0.2">
      <c r="A1579" s="1">
        <v>39807</v>
      </c>
      <c r="B1579">
        <v>3</v>
      </c>
      <c r="C1579">
        <v>4</v>
      </c>
      <c r="D1579">
        <v>17</v>
      </c>
      <c r="E1579">
        <v>28</v>
      </c>
      <c r="F1579">
        <v>34</v>
      </c>
      <c r="G1579">
        <v>41</v>
      </c>
      <c r="H1579">
        <v>33</v>
      </c>
    </row>
    <row r="1580" spans="1:8" x14ac:dyDescent="0.2">
      <c r="A1580" s="1">
        <v>39804</v>
      </c>
      <c r="B1580">
        <v>10</v>
      </c>
      <c r="C1580">
        <v>12</v>
      </c>
      <c r="D1580">
        <v>16</v>
      </c>
      <c r="E1580">
        <v>26</v>
      </c>
      <c r="F1580">
        <v>33</v>
      </c>
      <c r="G1580">
        <v>34</v>
      </c>
      <c r="H1580">
        <v>29</v>
      </c>
    </row>
    <row r="1581" spans="1:8" x14ac:dyDescent="0.2">
      <c r="A1581" s="1">
        <v>39800</v>
      </c>
      <c r="B1581">
        <v>1</v>
      </c>
      <c r="C1581">
        <v>2</v>
      </c>
      <c r="D1581">
        <v>6</v>
      </c>
      <c r="E1581">
        <v>17</v>
      </c>
      <c r="F1581">
        <v>18</v>
      </c>
      <c r="G1581">
        <v>21</v>
      </c>
      <c r="H1581">
        <v>10</v>
      </c>
    </row>
    <row r="1582" spans="1:8" x14ac:dyDescent="0.2">
      <c r="A1582" s="1">
        <v>39797</v>
      </c>
      <c r="B1582">
        <v>17</v>
      </c>
      <c r="C1582">
        <v>19</v>
      </c>
      <c r="D1582">
        <v>28</v>
      </c>
      <c r="E1582">
        <v>30</v>
      </c>
      <c r="F1582">
        <v>32</v>
      </c>
      <c r="G1582">
        <v>36</v>
      </c>
      <c r="H1582">
        <v>29</v>
      </c>
    </row>
    <row r="1583" spans="1:8" x14ac:dyDescent="0.2">
      <c r="A1583" s="1">
        <v>39793</v>
      </c>
      <c r="B1583">
        <v>2</v>
      </c>
      <c r="C1583">
        <v>4</v>
      </c>
      <c r="D1583">
        <v>6</v>
      </c>
      <c r="E1583">
        <v>28</v>
      </c>
      <c r="F1583">
        <v>42</v>
      </c>
      <c r="G1583">
        <v>43</v>
      </c>
      <c r="H1583">
        <v>39</v>
      </c>
    </row>
    <row r="1584" spans="1:8" x14ac:dyDescent="0.2">
      <c r="A1584" s="1">
        <v>39790</v>
      </c>
      <c r="B1584">
        <v>13</v>
      </c>
      <c r="C1584">
        <v>15</v>
      </c>
      <c r="D1584">
        <v>18</v>
      </c>
      <c r="E1584">
        <v>22</v>
      </c>
      <c r="F1584">
        <v>37</v>
      </c>
      <c r="G1584">
        <v>45</v>
      </c>
      <c r="H1584">
        <v>35</v>
      </c>
    </row>
    <row r="1585" spans="1:8" x14ac:dyDescent="0.2">
      <c r="A1585" s="1">
        <v>39786</v>
      </c>
      <c r="B1585">
        <v>2</v>
      </c>
      <c r="C1585">
        <v>9</v>
      </c>
      <c r="D1585">
        <v>34</v>
      </c>
      <c r="E1585">
        <v>39</v>
      </c>
      <c r="F1585">
        <v>42</v>
      </c>
      <c r="G1585">
        <v>43</v>
      </c>
      <c r="H1585">
        <v>26</v>
      </c>
    </row>
    <row r="1586" spans="1:8" x14ac:dyDescent="0.2">
      <c r="A1586" s="1">
        <v>39783</v>
      </c>
      <c r="B1586">
        <v>4</v>
      </c>
      <c r="C1586">
        <v>5</v>
      </c>
      <c r="D1586">
        <v>13</v>
      </c>
      <c r="E1586">
        <v>16</v>
      </c>
      <c r="F1586">
        <v>23</v>
      </c>
      <c r="G1586">
        <v>26</v>
      </c>
      <c r="H1586">
        <v>30</v>
      </c>
    </row>
    <row r="1587" spans="1:8" x14ac:dyDescent="0.2">
      <c r="A1587" s="1">
        <v>39779</v>
      </c>
      <c r="B1587">
        <v>9</v>
      </c>
      <c r="C1587">
        <v>17</v>
      </c>
      <c r="D1587">
        <v>18</v>
      </c>
      <c r="E1587">
        <v>25</v>
      </c>
      <c r="F1587">
        <v>41</v>
      </c>
      <c r="G1587">
        <v>45</v>
      </c>
      <c r="H1587">
        <v>29</v>
      </c>
    </row>
    <row r="1588" spans="1:8" x14ac:dyDescent="0.2">
      <c r="A1588" s="1">
        <v>39776</v>
      </c>
      <c r="B1588">
        <v>1</v>
      </c>
      <c r="C1588">
        <v>12</v>
      </c>
      <c r="D1588">
        <v>19</v>
      </c>
      <c r="E1588">
        <v>22</v>
      </c>
      <c r="F1588">
        <v>33</v>
      </c>
      <c r="G1588">
        <v>37</v>
      </c>
      <c r="H1588">
        <v>21</v>
      </c>
    </row>
    <row r="1589" spans="1:8" x14ac:dyDescent="0.2">
      <c r="A1589" s="1">
        <v>39772</v>
      </c>
      <c r="B1589">
        <v>18</v>
      </c>
      <c r="C1589">
        <v>24</v>
      </c>
      <c r="D1589">
        <v>28</v>
      </c>
      <c r="E1589">
        <v>29</v>
      </c>
      <c r="F1589">
        <v>31</v>
      </c>
      <c r="G1589">
        <v>38</v>
      </c>
      <c r="H1589">
        <v>17</v>
      </c>
    </row>
    <row r="1590" spans="1:8" x14ac:dyDescent="0.2">
      <c r="A1590" s="1">
        <v>39769</v>
      </c>
      <c r="B1590">
        <v>8</v>
      </c>
      <c r="C1590">
        <v>17</v>
      </c>
      <c r="D1590">
        <v>24</v>
      </c>
      <c r="E1590">
        <v>30</v>
      </c>
      <c r="F1590">
        <v>42</v>
      </c>
      <c r="G1590">
        <v>43</v>
      </c>
      <c r="H1590">
        <v>18</v>
      </c>
    </row>
    <row r="1591" spans="1:8" x14ac:dyDescent="0.2">
      <c r="A1591" s="1">
        <v>39765</v>
      </c>
      <c r="B1591">
        <v>5</v>
      </c>
      <c r="C1591">
        <v>12</v>
      </c>
      <c r="D1591">
        <v>15</v>
      </c>
      <c r="E1591">
        <v>20</v>
      </c>
      <c r="F1591">
        <v>29</v>
      </c>
      <c r="G1591">
        <v>36</v>
      </c>
      <c r="H1591">
        <v>19</v>
      </c>
    </row>
    <row r="1592" spans="1:8" x14ac:dyDescent="0.2">
      <c r="A1592" s="1">
        <v>39762</v>
      </c>
      <c r="B1592">
        <v>3</v>
      </c>
      <c r="C1592">
        <v>8</v>
      </c>
      <c r="D1592">
        <v>12</v>
      </c>
      <c r="E1592">
        <v>14</v>
      </c>
      <c r="F1592">
        <v>36</v>
      </c>
      <c r="G1592">
        <v>40</v>
      </c>
      <c r="H1592">
        <v>24</v>
      </c>
    </row>
    <row r="1593" spans="1:8" x14ac:dyDescent="0.2">
      <c r="A1593" s="1">
        <v>39758</v>
      </c>
      <c r="B1593">
        <v>13</v>
      </c>
      <c r="C1593">
        <v>24</v>
      </c>
      <c r="D1593">
        <v>26</v>
      </c>
      <c r="E1593">
        <v>27</v>
      </c>
      <c r="F1593">
        <v>32</v>
      </c>
      <c r="G1593">
        <v>35</v>
      </c>
      <c r="H1593">
        <v>21</v>
      </c>
    </row>
    <row r="1594" spans="1:8" x14ac:dyDescent="0.2">
      <c r="A1594" s="1">
        <v>39755</v>
      </c>
      <c r="B1594">
        <v>1</v>
      </c>
      <c r="C1594">
        <v>6</v>
      </c>
      <c r="D1594">
        <v>31</v>
      </c>
      <c r="E1594">
        <v>35</v>
      </c>
      <c r="F1594">
        <v>40</v>
      </c>
      <c r="G1594">
        <v>42</v>
      </c>
      <c r="H1594">
        <v>44</v>
      </c>
    </row>
    <row r="1595" spans="1:8" x14ac:dyDescent="0.2">
      <c r="A1595" s="1">
        <v>39751</v>
      </c>
      <c r="B1595">
        <v>1</v>
      </c>
      <c r="C1595">
        <v>9</v>
      </c>
      <c r="D1595">
        <v>17</v>
      </c>
      <c r="E1595">
        <v>23</v>
      </c>
      <c r="F1595">
        <v>35</v>
      </c>
      <c r="G1595">
        <v>38</v>
      </c>
      <c r="H1595">
        <v>34</v>
      </c>
    </row>
    <row r="1596" spans="1:8" x14ac:dyDescent="0.2">
      <c r="A1596" s="1">
        <v>39748</v>
      </c>
      <c r="B1596">
        <v>1</v>
      </c>
      <c r="C1596">
        <v>3</v>
      </c>
      <c r="D1596">
        <v>6</v>
      </c>
      <c r="E1596">
        <v>7</v>
      </c>
      <c r="F1596">
        <v>26</v>
      </c>
      <c r="G1596">
        <v>39</v>
      </c>
      <c r="H1596">
        <v>18</v>
      </c>
    </row>
    <row r="1597" spans="1:8" x14ac:dyDescent="0.2">
      <c r="A1597" s="1">
        <v>39744</v>
      </c>
      <c r="B1597">
        <v>5</v>
      </c>
      <c r="C1597">
        <v>11</v>
      </c>
      <c r="D1597">
        <v>18</v>
      </c>
      <c r="E1597">
        <v>24</v>
      </c>
      <c r="F1597">
        <v>39</v>
      </c>
      <c r="G1597">
        <v>41</v>
      </c>
      <c r="H1597">
        <v>45</v>
      </c>
    </row>
    <row r="1598" spans="1:8" x14ac:dyDescent="0.2">
      <c r="A1598" s="1">
        <v>39741</v>
      </c>
      <c r="B1598">
        <v>12</v>
      </c>
      <c r="C1598">
        <v>16</v>
      </c>
      <c r="D1598">
        <v>18</v>
      </c>
      <c r="E1598">
        <v>23</v>
      </c>
      <c r="F1598">
        <v>25</v>
      </c>
      <c r="G1598">
        <v>35</v>
      </c>
      <c r="H1598">
        <v>41</v>
      </c>
    </row>
    <row r="1599" spans="1:8" x14ac:dyDescent="0.2">
      <c r="A1599" s="1">
        <v>39737</v>
      </c>
      <c r="B1599">
        <v>17</v>
      </c>
      <c r="C1599">
        <v>23</v>
      </c>
      <c r="D1599">
        <v>24</v>
      </c>
      <c r="E1599">
        <v>38</v>
      </c>
      <c r="F1599">
        <v>40</v>
      </c>
      <c r="G1599">
        <v>44</v>
      </c>
      <c r="H1599">
        <v>26</v>
      </c>
    </row>
    <row r="1600" spans="1:8" x14ac:dyDescent="0.2">
      <c r="A1600" s="1">
        <v>39734</v>
      </c>
      <c r="B1600">
        <v>9</v>
      </c>
      <c r="C1600">
        <v>23</v>
      </c>
      <c r="D1600">
        <v>24</v>
      </c>
      <c r="E1600">
        <v>25</v>
      </c>
      <c r="F1600">
        <v>30</v>
      </c>
      <c r="G1600">
        <v>41</v>
      </c>
      <c r="H1600">
        <v>14</v>
      </c>
    </row>
    <row r="1601" spans="1:8" x14ac:dyDescent="0.2">
      <c r="A1601" s="1">
        <v>39730</v>
      </c>
      <c r="B1601">
        <v>2</v>
      </c>
      <c r="C1601">
        <v>20</v>
      </c>
      <c r="D1601">
        <v>31</v>
      </c>
      <c r="E1601">
        <v>33</v>
      </c>
      <c r="F1601">
        <v>38</v>
      </c>
      <c r="G1601">
        <v>42</v>
      </c>
      <c r="H1601">
        <v>15</v>
      </c>
    </row>
    <row r="1602" spans="1:8" x14ac:dyDescent="0.2">
      <c r="A1602" s="1">
        <v>39727</v>
      </c>
      <c r="B1602">
        <v>6</v>
      </c>
      <c r="C1602">
        <v>13</v>
      </c>
      <c r="D1602">
        <v>22</v>
      </c>
      <c r="E1602">
        <v>30</v>
      </c>
      <c r="F1602">
        <v>31</v>
      </c>
      <c r="G1602">
        <v>42</v>
      </c>
      <c r="H1602">
        <v>40</v>
      </c>
    </row>
    <row r="1603" spans="1:8" x14ac:dyDescent="0.2">
      <c r="A1603" s="1">
        <v>39723</v>
      </c>
      <c r="B1603">
        <v>3</v>
      </c>
      <c r="C1603">
        <v>6</v>
      </c>
      <c r="D1603">
        <v>7</v>
      </c>
      <c r="E1603">
        <v>11</v>
      </c>
      <c r="F1603">
        <v>27</v>
      </c>
      <c r="G1603">
        <v>37</v>
      </c>
      <c r="H1603">
        <v>12</v>
      </c>
    </row>
    <row r="1604" spans="1:8" x14ac:dyDescent="0.2">
      <c r="A1604" s="1">
        <v>39720</v>
      </c>
      <c r="B1604">
        <v>9</v>
      </c>
      <c r="C1604">
        <v>10</v>
      </c>
      <c r="D1604">
        <v>22</v>
      </c>
      <c r="E1604">
        <v>27</v>
      </c>
      <c r="F1604">
        <v>36</v>
      </c>
      <c r="G1604">
        <v>39</v>
      </c>
      <c r="H1604">
        <v>44</v>
      </c>
    </row>
    <row r="1605" spans="1:8" x14ac:dyDescent="0.2">
      <c r="A1605" s="1">
        <v>39716</v>
      </c>
      <c r="B1605">
        <v>1</v>
      </c>
      <c r="C1605">
        <v>15</v>
      </c>
      <c r="D1605">
        <v>17</v>
      </c>
      <c r="E1605">
        <v>26</v>
      </c>
      <c r="F1605">
        <v>38</v>
      </c>
      <c r="G1605">
        <v>42</v>
      </c>
      <c r="H1605">
        <v>21</v>
      </c>
    </row>
    <row r="1606" spans="1:8" x14ac:dyDescent="0.2">
      <c r="A1606" s="1">
        <v>39713</v>
      </c>
      <c r="B1606">
        <v>6</v>
      </c>
      <c r="C1606">
        <v>10</v>
      </c>
      <c r="D1606">
        <v>18</v>
      </c>
      <c r="E1606">
        <v>21</v>
      </c>
      <c r="F1606">
        <v>30</v>
      </c>
      <c r="G1606">
        <v>35</v>
      </c>
      <c r="H1606">
        <v>1</v>
      </c>
    </row>
    <row r="1607" spans="1:8" x14ac:dyDescent="0.2">
      <c r="A1607" s="1">
        <v>39709</v>
      </c>
      <c r="B1607">
        <v>10</v>
      </c>
      <c r="C1607">
        <v>23</v>
      </c>
      <c r="D1607">
        <v>31</v>
      </c>
      <c r="E1607">
        <v>37</v>
      </c>
      <c r="F1607">
        <v>38</v>
      </c>
      <c r="G1607">
        <v>41</v>
      </c>
      <c r="H1607">
        <v>20</v>
      </c>
    </row>
    <row r="1608" spans="1:8" x14ac:dyDescent="0.2">
      <c r="A1608" s="1">
        <v>39706</v>
      </c>
      <c r="B1608">
        <v>11</v>
      </c>
      <c r="C1608">
        <v>12</v>
      </c>
      <c r="D1608">
        <v>13</v>
      </c>
      <c r="E1608">
        <v>21</v>
      </c>
      <c r="F1608">
        <v>25</v>
      </c>
      <c r="G1608">
        <v>32</v>
      </c>
      <c r="H1608">
        <v>2</v>
      </c>
    </row>
    <row r="1609" spans="1:8" x14ac:dyDescent="0.2">
      <c r="A1609" s="1">
        <v>39702</v>
      </c>
      <c r="B1609">
        <v>8</v>
      </c>
      <c r="C1609">
        <v>10</v>
      </c>
      <c r="D1609">
        <v>20</v>
      </c>
      <c r="E1609">
        <v>23</v>
      </c>
      <c r="F1609">
        <v>40</v>
      </c>
      <c r="G1609">
        <v>41</v>
      </c>
      <c r="H1609">
        <v>38</v>
      </c>
    </row>
    <row r="1610" spans="1:8" x14ac:dyDescent="0.2">
      <c r="A1610" s="1">
        <v>39699</v>
      </c>
      <c r="B1610">
        <v>8</v>
      </c>
      <c r="C1610">
        <v>17</v>
      </c>
      <c r="D1610">
        <v>20</v>
      </c>
      <c r="E1610">
        <v>39</v>
      </c>
      <c r="F1610">
        <v>41</v>
      </c>
      <c r="G1610">
        <v>44</v>
      </c>
      <c r="H1610">
        <v>43</v>
      </c>
    </row>
    <row r="1611" spans="1:8" x14ac:dyDescent="0.2">
      <c r="A1611" s="1">
        <v>39695</v>
      </c>
      <c r="B1611">
        <v>8</v>
      </c>
      <c r="C1611">
        <v>25</v>
      </c>
      <c r="D1611">
        <v>33</v>
      </c>
      <c r="E1611">
        <v>39</v>
      </c>
      <c r="F1611">
        <v>40</v>
      </c>
      <c r="G1611">
        <v>45</v>
      </c>
      <c r="H1611">
        <v>43</v>
      </c>
    </row>
    <row r="1612" spans="1:8" x14ac:dyDescent="0.2">
      <c r="A1612" s="1">
        <v>39692</v>
      </c>
      <c r="B1612">
        <v>5</v>
      </c>
      <c r="C1612">
        <v>14</v>
      </c>
      <c r="D1612">
        <v>29</v>
      </c>
      <c r="E1612">
        <v>34</v>
      </c>
      <c r="F1612">
        <v>37</v>
      </c>
      <c r="G1612">
        <v>39</v>
      </c>
      <c r="H1612">
        <v>30</v>
      </c>
    </row>
    <row r="1613" spans="1:8" x14ac:dyDescent="0.2">
      <c r="A1613" s="1">
        <v>39688</v>
      </c>
      <c r="B1613">
        <v>2</v>
      </c>
      <c r="C1613">
        <v>11</v>
      </c>
      <c r="D1613">
        <v>16</v>
      </c>
      <c r="E1613">
        <v>32</v>
      </c>
      <c r="F1613">
        <v>44</v>
      </c>
      <c r="G1613">
        <v>45</v>
      </c>
      <c r="H1613">
        <v>6</v>
      </c>
    </row>
    <row r="1614" spans="1:8" x14ac:dyDescent="0.2">
      <c r="A1614" s="1">
        <v>39685</v>
      </c>
      <c r="B1614">
        <v>6</v>
      </c>
      <c r="C1614">
        <v>8</v>
      </c>
      <c r="D1614">
        <v>12</v>
      </c>
      <c r="E1614">
        <v>15</v>
      </c>
      <c r="F1614">
        <v>33</v>
      </c>
      <c r="G1614">
        <v>37</v>
      </c>
      <c r="H1614">
        <v>36</v>
      </c>
    </row>
    <row r="1615" spans="1:8" x14ac:dyDescent="0.2">
      <c r="A1615" s="1">
        <v>39681</v>
      </c>
      <c r="B1615">
        <v>5</v>
      </c>
      <c r="C1615">
        <v>9</v>
      </c>
      <c r="D1615">
        <v>19</v>
      </c>
      <c r="E1615">
        <v>30</v>
      </c>
      <c r="F1615">
        <v>41</v>
      </c>
      <c r="G1615">
        <v>45</v>
      </c>
      <c r="H1615">
        <v>22</v>
      </c>
    </row>
    <row r="1616" spans="1:8" x14ac:dyDescent="0.2">
      <c r="A1616" s="1">
        <v>39678</v>
      </c>
      <c r="B1616">
        <v>4</v>
      </c>
      <c r="C1616">
        <v>6</v>
      </c>
      <c r="D1616">
        <v>18</v>
      </c>
      <c r="E1616">
        <v>22</v>
      </c>
      <c r="F1616">
        <v>27</v>
      </c>
      <c r="G1616">
        <v>29</v>
      </c>
      <c r="H1616">
        <v>26</v>
      </c>
    </row>
    <row r="1617" spans="1:8" x14ac:dyDescent="0.2">
      <c r="A1617" s="1">
        <v>39674</v>
      </c>
      <c r="B1617">
        <v>6</v>
      </c>
      <c r="C1617">
        <v>7</v>
      </c>
      <c r="D1617">
        <v>28</v>
      </c>
      <c r="E1617">
        <v>36</v>
      </c>
      <c r="F1617">
        <v>38</v>
      </c>
      <c r="G1617">
        <v>45</v>
      </c>
      <c r="H1617">
        <v>37</v>
      </c>
    </row>
    <row r="1618" spans="1:8" x14ac:dyDescent="0.2">
      <c r="A1618" s="1">
        <v>39671</v>
      </c>
      <c r="B1618">
        <v>3</v>
      </c>
      <c r="C1618">
        <v>11</v>
      </c>
      <c r="D1618">
        <v>15</v>
      </c>
      <c r="E1618">
        <v>23</v>
      </c>
      <c r="F1618">
        <v>31</v>
      </c>
      <c r="G1618">
        <v>42</v>
      </c>
      <c r="H1618">
        <v>7</v>
      </c>
    </row>
    <row r="1619" spans="1:8" x14ac:dyDescent="0.2">
      <c r="A1619" s="1">
        <v>39668</v>
      </c>
      <c r="B1619">
        <v>14</v>
      </c>
      <c r="C1619">
        <v>17</v>
      </c>
      <c r="D1619">
        <v>19</v>
      </c>
      <c r="E1619">
        <v>21</v>
      </c>
      <c r="F1619">
        <v>25</v>
      </c>
      <c r="G1619">
        <v>38</v>
      </c>
      <c r="H1619">
        <v>34</v>
      </c>
    </row>
    <row r="1620" spans="1:8" x14ac:dyDescent="0.2">
      <c r="A1620" s="1">
        <v>39664</v>
      </c>
      <c r="B1620">
        <v>4</v>
      </c>
      <c r="C1620">
        <v>10</v>
      </c>
      <c r="D1620">
        <v>12</v>
      </c>
      <c r="E1620">
        <v>20</v>
      </c>
      <c r="F1620">
        <v>42</v>
      </c>
      <c r="G1620">
        <v>43</v>
      </c>
      <c r="H1620">
        <v>24</v>
      </c>
    </row>
    <row r="1621" spans="1:8" x14ac:dyDescent="0.2">
      <c r="A1621" s="1">
        <v>39660</v>
      </c>
      <c r="B1621">
        <v>9</v>
      </c>
      <c r="C1621">
        <v>10</v>
      </c>
      <c r="D1621">
        <v>14</v>
      </c>
      <c r="E1621">
        <v>18</v>
      </c>
      <c r="F1621">
        <v>30</v>
      </c>
      <c r="G1621">
        <v>34</v>
      </c>
      <c r="H1621">
        <v>11</v>
      </c>
    </row>
    <row r="1622" spans="1:8" x14ac:dyDescent="0.2">
      <c r="A1622" s="1">
        <v>39657</v>
      </c>
      <c r="B1622">
        <v>4</v>
      </c>
      <c r="C1622">
        <v>16</v>
      </c>
      <c r="D1622">
        <v>21</v>
      </c>
      <c r="E1622">
        <v>26</v>
      </c>
      <c r="F1622">
        <v>31</v>
      </c>
      <c r="G1622">
        <v>37</v>
      </c>
      <c r="H1622">
        <v>24</v>
      </c>
    </row>
    <row r="1623" spans="1:8" x14ac:dyDescent="0.2">
      <c r="A1623" s="1">
        <v>39653</v>
      </c>
      <c r="B1623">
        <v>2</v>
      </c>
      <c r="C1623">
        <v>5</v>
      </c>
      <c r="D1623">
        <v>9</v>
      </c>
      <c r="E1623">
        <v>20</v>
      </c>
      <c r="F1623">
        <v>21</v>
      </c>
      <c r="G1623">
        <v>42</v>
      </c>
      <c r="H1623">
        <v>15</v>
      </c>
    </row>
    <row r="1624" spans="1:8" x14ac:dyDescent="0.2">
      <c r="A1624" s="1">
        <v>39650</v>
      </c>
      <c r="B1624">
        <v>5</v>
      </c>
      <c r="C1624">
        <v>13</v>
      </c>
      <c r="D1624">
        <v>25</v>
      </c>
      <c r="E1624">
        <v>27</v>
      </c>
      <c r="F1624">
        <v>40</v>
      </c>
      <c r="G1624">
        <v>44</v>
      </c>
      <c r="H1624">
        <v>2</v>
      </c>
    </row>
    <row r="1625" spans="1:8" x14ac:dyDescent="0.2">
      <c r="A1625" s="1">
        <v>39646</v>
      </c>
      <c r="B1625">
        <v>5</v>
      </c>
      <c r="C1625">
        <v>10</v>
      </c>
      <c r="D1625">
        <v>25</v>
      </c>
      <c r="E1625">
        <v>27</v>
      </c>
      <c r="F1625">
        <v>36</v>
      </c>
      <c r="G1625">
        <v>39</v>
      </c>
      <c r="H1625">
        <v>40</v>
      </c>
    </row>
    <row r="1626" spans="1:8" x14ac:dyDescent="0.2">
      <c r="A1626" s="1">
        <v>39643</v>
      </c>
      <c r="B1626">
        <v>5</v>
      </c>
      <c r="C1626">
        <v>12</v>
      </c>
      <c r="D1626">
        <v>17</v>
      </c>
      <c r="E1626">
        <v>18</v>
      </c>
      <c r="F1626">
        <v>38</v>
      </c>
      <c r="G1626">
        <v>40</v>
      </c>
      <c r="H1626">
        <v>22</v>
      </c>
    </row>
    <row r="1627" spans="1:8" x14ac:dyDescent="0.2">
      <c r="A1627" s="1">
        <v>39639</v>
      </c>
      <c r="B1627">
        <v>22</v>
      </c>
      <c r="C1627">
        <v>32</v>
      </c>
      <c r="D1627">
        <v>41</v>
      </c>
      <c r="E1627">
        <v>42</v>
      </c>
      <c r="F1627">
        <v>43</v>
      </c>
      <c r="G1627">
        <v>44</v>
      </c>
      <c r="H1627">
        <v>31</v>
      </c>
    </row>
    <row r="1628" spans="1:8" x14ac:dyDescent="0.2">
      <c r="A1628" s="1">
        <v>39636</v>
      </c>
      <c r="B1628">
        <v>2</v>
      </c>
      <c r="C1628">
        <v>18</v>
      </c>
      <c r="D1628">
        <v>19</v>
      </c>
      <c r="E1628">
        <v>21</v>
      </c>
      <c r="F1628">
        <v>39</v>
      </c>
      <c r="G1628">
        <v>45</v>
      </c>
      <c r="H1628">
        <v>36</v>
      </c>
    </row>
    <row r="1629" spans="1:8" x14ac:dyDescent="0.2">
      <c r="A1629" s="1">
        <v>39632</v>
      </c>
      <c r="B1629">
        <v>6</v>
      </c>
      <c r="C1629">
        <v>11</v>
      </c>
      <c r="D1629">
        <v>14</v>
      </c>
      <c r="E1629">
        <v>15</v>
      </c>
      <c r="F1629">
        <v>28</v>
      </c>
      <c r="G1629">
        <v>45</v>
      </c>
      <c r="H1629">
        <v>35</v>
      </c>
    </row>
    <row r="1630" spans="1:8" x14ac:dyDescent="0.2">
      <c r="A1630"/>
    </row>
    <row r="1631" spans="1:8" x14ac:dyDescent="0.2">
      <c r="A1631"/>
    </row>
    <row r="1632" spans="1:8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  <row r="2848" spans="1:1" x14ac:dyDescent="0.2">
      <c r="A2848"/>
    </row>
    <row r="2849" spans="1:1" x14ac:dyDescent="0.2">
      <c r="A2849"/>
    </row>
    <row r="2850" spans="1:1" x14ac:dyDescent="0.2">
      <c r="A2850"/>
    </row>
    <row r="2851" spans="1:1" x14ac:dyDescent="0.2">
      <c r="A2851"/>
    </row>
    <row r="2852" spans="1:1" x14ac:dyDescent="0.2">
      <c r="A2852"/>
    </row>
    <row r="2853" spans="1:1" x14ac:dyDescent="0.2">
      <c r="A2853"/>
    </row>
    <row r="2854" spans="1:1" x14ac:dyDescent="0.2">
      <c r="A2854"/>
    </row>
    <row r="2855" spans="1:1" x14ac:dyDescent="0.2">
      <c r="A2855"/>
    </row>
    <row r="2856" spans="1:1" x14ac:dyDescent="0.2">
      <c r="A2856"/>
    </row>
    <row r="2857" spans="1:1" x14ac:dyDescent="0.2">
      <c r="A2857"/>
    </row>
    <row r="2858" spans="1:1" x14ac:dyDescent="0.2">
      <c r="A2858"/>
    </row>
    <row r="2859" spans="1:1" x14ac:dyDescent="0.2">
      <c r="A2859"/>
    </row>
    <row r="2860" spans="1:1" x14ac:dyDescent="0.2">
      <c r="A2860"/>
    </row>
    <row r="2861" spans="1:1" x14ac:dyDescent="0.2">
      <c r="A2861"/>
    </row>
    <row r="2862" spans="1:1" x14ac:dyDescent="0.2">
      <c r="A2862"/>
    </row>
    <row r="2863" spans="1:1" x14ac:dyDescent="0.2">
      <c r="A2863"/>
    </row>
    <row r="2864" spans="1:1" x14ac:dyDescent="0.2">
      <c r="A2864"/>
    </row>
    <row r="2865" spans="1:1" x14ac:dyDescent="0.2">
      <c r="A2865"/>
    </row>
    <row r="2866" spans="1:1" x14ac:dyDescent="0.2">
      <c r="A2866"/>
    </row>
    <row r="2867" spans="1:1" x14ac:dyDescent="0.2">
      <c r="A2867"/>
    </row>
    <row r="2868" spans="1:1" x14ac:dyDescent="0.2">
      <c r="A2868"/>
    </row>
    <row r="2869" spans="1:1" x14ac:dyDescent="0.2">
      <c r="A2869"/>
    </row>
    <row r="2870" spans="1:1" x14ac:dyDescent="0.2">
      <c r="A2870"/>
    </row>
    <row r="2871" spans="1:1" x14ac:dyDescent="0.2">
      <c r="A2871"/>
    </row>
    <row r="2872" spans="1:1" x14ac:dyDescent="0.2">
      <c r="A2872"/>
    </row>
    <row r="2873" spans="1:1" x14ac:dyDescent="0.2">
      <c r="A2873"/>
    </row>
    <row r="2874" spans="1:1" x14ac:dyDescent="0.2">
      <c r="A2874"/>
    </row>
    <row r="2875" spans="1:1" x14ac:dyDescent="0.2">
      <c r="A2875"/>
    </row>
    <row r="2876" spans="1:1" x14ac:dyDescent="0.2">
      <c r="A2876"/>
    </row>
    <row r="2877" spans="1:1" x14ac:dyDescent="0.2">
      <c r="A2877"/>
    </row>
    <row r="2878" spans="1:1" x14ac:dyDescent="0.2">
      <c r="A2878"/>
    </row>
    <row r="2879" spans="1:1" x14ac:dyDescent="0.2">
      <c r="A2879"/>
    </row>
    <row r="2880" spans="1:1" x14ac:dyDescent="0.2">
      <c r="A2880"/>
    </row>
    <row r="2881" spans="1:1" x14ac:dyDescent="0.2">
      <c r="A2881"/>
    </row>
    <row r="2882" spans="1:1" x14ac:dyDescent="0.2">
      <c r="A2882"/>
    </row>
    <row r="2883" spans="1:1" x14ac:dyDescent="0.2">
      <c r="A2883"/>
    </row>
    <row r="2884" spans="1:1" x14ac:dyDescent="0.2">
      <c r="A2884"/>
    </row>
    <row r="2885" spans="1:1" x14ac:dyDescent="0.2">
      <c r="A2885"/>
    </row>
    <row r="2886" spans="1:1" x14ac:dyDescent="0.2">
      <c r="A2886"/>
    </row>
    <row r="2887" spans="1:1" x14ac:dyDescent="0.2">
      <c r="A2887"/>
    </row>
    <row r="2888" spans="1:1" x14ac:dyDescent="0.2">
      <c r="A2888"/>
    </row>
    <row r="2889" spans="1:1" x14ac:dyDescent="0.2">
      <c r="A2889"/>
    </row>
    <row r="2890" spans="1:1" x14ac:dyDescent="0.2">
      <c r="A2890"/>
    </row>
    <row r="2891" spans="1:1" x14ac:dyDescent="0.2">
      <c r="A2891"/>
    </row>
    <row r="2892" spans="1:1" x14ac:dyDescent="0.2">
      <c r="A2892"/>
    </row>
    <row r="2893" spans="1:1" x14ac:dyDescent="0.2">
      <c r="A2893"/>
    </row>
    <row r="2894" spans="1:1" x14ac:dyDescent="0.2">
      <c r="A2894"/>
    </row>
    <row r="2895" spans="1:1" x14ac:dyDescent="0.2">
      <c r="A2895"/>
    </row>
    <row r="2896" spans="1:1" x14ac:dyDescent="0.2">
      <c r="A2896"/>
    </row>
    <row r="2897" spans="1:1" x14ac:dyDescent="0.2">
      <c r="A2897"/>
    </row>
    <row r="2898" spans="1:1" x14ac:dyDescent="0.2">
      <c r="A2898"/>
    </row>
    <row r="2899" spans="1:1" x14ac:dyDescent="0.2">
      <c r="A2899"/>
    </row>
    <row r="2900" spans="1:1" x14ac:dyDescent="0.2">
      <c r="A2900"/>
    </row>
    <row r="2901" spans="1:1" x14ac:dyDescent="0.2">
      <c r="A2901"/>
    </row>
    <row r="2902" spans="1:1" x14ac:dyDescent="0.2">
      <c r="A2902"/>
    </row>
    <row r="2903" spans="1:1" x14ac:dyDescent="0.2">
      <c r="A2903"/>
    </row>
    <row r="2904" spans="1:1" x14ac:dyDescent="0.2">
      <c r="A2904"/>
    </row>
    <row r="2905" spans="1:1" x14ac:dyDescent="0.2">
      <c r="A2905"/>
    </row>
    <row r="2906" spans="1:1" x14ac:dyDescent="0.2">
      <c r="A2906"/>
    </row>
    <row r="2907" spans="1:1" x14ac:dyDescent="0.2">
      <c r="A2907"/>
    </row>
    <row r="2908" spans="1:1" x14ac:dyDescent="0.2">
      <c r="A2908"/>
    </row>
    <row r="2909" spans="1:1" x14ac:dyDescent="0.2">
      <c r="A2909"/>
    </row>
    <row r="2910" spans="1:1" x14ac:dyDescent="0.2">
      <c r="A2910"/>
    </row>
    <row r="2911" spans="1:1" x14ac:dyDescent="0.2">
      <c r="A2911"/>
    </row>
    <row r="2912" spans="1:1" x14ac:dyDescent="0.2">
      <c r="A2912"/>
    </row>
    <row r="2913" spans="1:1" x14ac:dyDescent="0.2">
      <c r="A2913"/>
    </row>
    <row r="2914" spans="1:1" x14ac:dyDescent="0.2">
      <c r="A2914"/>
    </row>
    <row r="2915" spans="1:1" x14ac:dyDescent="0.2">
      <c r="A2915"/>
    </row>
    <row r="2916" spans="1:1" x14ac:dyDescent="0.2">
      <c r="A2916"/>
    </row>
    <row r="2917" spans="1:1" x14ac:dyDescent="0.2">
      <c r="A2917"/>
    </row>
    <row r="2918" spans="1:1" x14ac:dyDescent="0.2">
      <c r="A2918"/>
    </row>
    <row r="2919" spans="1:1" x14ac:dyDescent="0.2">
      <c r="A2919"/>
    </row>
    <row r="2920" spans="1:1" x14ac:dyDescent="0.2">
      <c r="A2920"/>
    </row>
    <row r="2921" spans="1:1" x14ac:dyDescent="0.2">
      <c r="A2921"/>
    </row>
    <row r="2922" spans="1:1" x14ac:dyDescent="0.2">
      <c r="A2922"/>
    </row>
    <row r="2923" spans="1:1" x14ac:dyDescent="0.2">
      <c r="A2923"/>
    </row>
    <row r="2924" spans="1:1" x14ac:dyDescent="0.2">
      <c r="A2924"/>
    </row>
    <row r="2925" spans="1:1" x14ac:dyDescent="0.2">
      <c r="A2925"/>
    </row>
    <row r="2926" spans="1:1" x14ac:dyDescent="0.2">
      <c r="A2926"/>
    </row>
    <row r="2927" spans="1:1" x14ac:dyDescent="0.2">
      <c r="A2927"/>
    </row>
    <row r="2928" spans="1:1" x14ac:dyDescent="0.2">
      <c r="A2928"/>
    </row>
    <row r="2929" spans="1:1" x14ac:dyDescent="0.2">
      <c r="A2929"/>
    </row>
    <row r="2930" spans="1:1" x14ac:dyDescent="0.2">
      <c r="A2930"/>
    </row>
    <row r="2931" spans="1:1" x14ac:dyDescent="0.2">
      <c r="A2931"/>
    </row>
    <row r="2932" spans="1:1" x14ac:dyDescent="0.2">
      <c r="A2932"/>
    </row>
    <row r="2933" spans="1:1" x14ac:dyDescent="0.2">
      <c r="A2933"/>
    </row>
    <row r="2934" spans="1:1" x14ac:dyDescent="0.2">
      <c r="A2934"/>
    </row>
    <row r="2935" spans="1:1" x14ac:dyDescent="0.2">
      <c r="A2935"/>
    </row>
    <row r="2936" spans="1:1" x14ac:dyDescent="0.2">
      <c r="A2936"/>
    </row>
    <row r="2937" spans="1:1" x14ac:dyDescent="0.2">
      <c r="A2937"/>
    </row>
    <row r="2938" spans="1:1" x14ac:dyDescent="0.2">
      <c r="A2938"/>
    </row>
    <row r="2939" spans="1:1" x14ac:dyDescent="0.2">
      <c r="A2939"/>
    </row>
    <row r="2940" spans="1:1" x14ac:dyDescent="0.2">
      <c r="A2940"/>
    </row>
    <row r="2941" spans="1:1" x14ac:dyDescent="0.2">
      <c r="A2941"/>
    </row>
    <row r="2942" spans="1:1" x14ac:dyDescent="0.2">
      <c r="A2942"/>
    </row>
    <row r="2943" spans="1:1" x14ac:dyDescent="0.2">
      <c r="A2943"/>
    </row>
    <row r="2944" spans="1:1" x14ac:dyDescent="0.2">
      <c r="A2944"/>
    </row>
    <row r="2945" spans="1:1" x14ac:dyDescent="0.2">
      <c r="A2945"/>
    </row>
    <row r="2946" spans="1:1" x14ac:dyDescent="0.2">
      <c r="A2946"/>
    </row>
    <row r="2947" spans="1:1" x14ac:dyDescent="0.2">
      <c r="A2947"/>
    </row>
    <row r="2948" spans="1:1" x14ac:dyDescent="0.2">
      <c r="A2948"/>
    </row>
    <row r="2949" spans="1:1" x14ac:dyDescent="0.2">
      <c r="A2949"/>
    </row>
    <row r="2950" spans="1:1" x14ac:dyDescent="0.2">
      <c r="A2950"/>
    </row>
    <row r="2951" spans="1:1" x14ac:dyDescent="0.2">
      <c r="A2951"/>
    </row>
    <row r="2952" spans="1:1" x14ac:dyDescent="0.2">
      <c r="A2952"/>
    </row>
    <row r="2953" spans="1:1" x14ac:dyDescent="0.2">
      <c r="A2953"/>
    </row>
    <row r="2954" spans="1:1" x14ac:dyDescent="0.2">
      <c r="A2954"/>
    </row>
    <row r="2955" spans="1:1" x14ac:dyDescent="0.2">
      <c r="A2955"/>
    </row>
    <row r="2956" spans="1:1" x14ac:dyDescent="0.2">
      <c r="A2956"/>
    </row>
    <row r="2957" spans="1:1" x14ac:dyDescent="0.2">
      <c r="A2957"/>
    </row>
    <row r="2958" spans="1:1" x14ac:dyDescent="0.2">
      <c r="A2958"/>
    </row>
    <row r="2959" spans="1:1" x14ac:dyDescent="0.2">
      <c r="A2959"/>
    </row>
    <row r="2960" spans="1:1" x14ac:dyDescent="0.2">
      <c r="A2960"/>
    </row>
    <row r="2961" spans="1:1" x14ac:dyDescent="0.2">
      <c r="A2961"/>
    </row>
    <row r="2962" spans="1:1" x14ac:dyDescent="0.2">
      <c r="A2962"/>
    </row>
    <row r="2963" spans="1:1" x14ac:dyDescent="0.2">
      <c r="A2963"/>
    </row>
    <row r="2964" spans="1:1" x14ac:dyDescent="0.2">
      <c r="A2964"/>
    </row>
    <row r="2965" spans="1:1" x14ac:dyDescent="0.2">
      <c r="A2965"/>
    </row>
    <row r="2966" spans="1:1" x14ac:dyDescent="0.2">
      <c r="A2966"/>
    </row>
    <row r="2967" spans="1:1" x14ac:dyDescent="0.2">
      <c r="A2967"/>
    </row>
    <row r="2968" spans="1:1" x14ac:dyDescent="0.2">
      <c r="A2968"/>
    </row>
    <row r="2969" spans="1:1" x14ac:dyDescent="0.2">
      <c r="A2969"/>
    </row>
    <row r="2970" spans="1:1" x14ac:dyDescent="0.2">
      <c r="A2970"/>
    </row>
    <row r="2971" spans="1:1" x14ac:dyDescent="0.2">
      <c r="A2971"/>
    </row>
    <row r="2972" spans="1:1" x14ac:dyDescent="0.2">
      <c r="A2972"/>
    </row>
    <row r="2973" spans="1:1" x14ac:dyDescent="0.2">
      <c r="A2973"/>
    </row>
    <row r="2974" spans="1:1" x14ac:dyDescent="0.2">
      <c r="A2974"/>
    </row>
    <row r="2975" spans="1:1" x14ac:dyDescent="0.2">
      <c r="A2975"/>
    </row>
    <row r="2976" spans="1:1" x14ac:dyDescent="0.2">
      <c r="A2976"/>
    </row>
    <row r="2977" spans="1:1" x14ac:dyDescent="0.2">
      <c r="A2977"/>
    </row>
    <row r="2978" spans="1:1" x14ac:dyDescent="0.2">
      <c r="A2978"/>
    </row>
    <row r="2979" spans="1:1" x14ac:dyDescent="0.2">
      <c r="A2979"/>
    </row>
    <row r="2980" spans="1:1" x14ac:dyDescent="0.2">
      <c r="A2980"/>
    </row>
    <row r="2981" spans="1:1" x14ac:dyDescent="0.2">
      <c r="A2981"/>
    </row>
    <row r="2982" spans="1:1" x14ac:dyDescent="0.2">
      <c r="A2982"/>
    </row>
    <row r="2983" spans="1:1" x14ac:dyDescent="0.2">
      <c r="A2983"/>
    </row>
    <row r="2984" spans="1:1" x14ac:dyDescent="0.2">
      <c r="A2984"/>
    </row>
    <row r="2985" spans="1:1" x14ac:dyDescent="0.2">
      <c r="A2985"/>
    </row>
    <row r="2986" spans="1:1" x14ac:dyDescent="0.2">
      <c r="A2986"/>
    </row>
    <row r="2987" spans="1:1" x14ac:dyDescent="0.2">
      <c r="A2987"/>
    </row>
    <row r="2988" spans="1:1" x14ac:dyDescent="0.2">
      <c r="A2988"/>
    </row>
    <row r="2989" spans="1:1" x14ac:dyDescent="0.2">
      <c r="A2989"/>
    </row>
    <row r="2990" spans="1:1" x14ac:dyDescent="0.2">
      <c r="A2990"/>
    </row>
    <row r="2991" spans="1:1" x14ac:dyDescent="0.2">
      <c r="A2991"/>
    </row>
    <row r="2992" spans="1:1" x14ac:dyDescent="0.2">
      <c r="A2992"/>
    </row>
    <row r="2993" spans="1:1" x14ac:dyDescent="0.2">
      <c r="A2993"/>
    </row>
    <row r="2994" spans="1:1" x14ac:dyDescent="0.2">
      <c r="A2994"/>
    </row>
    <row r="2995" spans="1:1" x14ac:dyDescent="0.2">
      <c r="A2995"/>
    </row>
    <row r="2996" spans="1:1" x14ac:dyDescent="0.2">
      <c r="A2996"/>
    </row>
    <row r="2997" spans="1:1" x14ac:dyDescent="0.2">
      <c r="A2997"/>
    </row>
    <row r="2998" spans="1:1" x14ac:dyDescent="0.2">
      <c r="A2998"/>
    </row>
    <row r="2999" spans="1:1" x14ac:dyDescent="0.2">
      <c r="A2999"/>
    </row>
    <row r="3000" spans="1:1" x14ac:dyDescent="0.2">
      <c r="A3000"/>
    </row>
    <row r="3001" spans="1:1" x14ac:dyDescent="0.2">
      <c r="A3001"/>
    </row>
    <row r="3002" spans="1:1" x14ac:dyDescent="0.2">
      <c r="A3002"/>
    </row>
    <row r="3003" spans="1:1" x14ac:dyDescent="0.2">
      <c r="A3003"/>
    </row>
    <row r="3004" spans="1:1" x14ac:dyDescent="0.2">
      <c r="A3004"/>
    </row>
    <row r="3005" spans="1:1" x14ac:dyDescent="0.2">
      <c r="A3005"/>
    </row>
    <row r="3006" spans="1:1" x14ac:dyDescent="0.2">
      <c r="A3006"/>
    </row>
    <row r="3007" spans="1:1" x14ac:dyDescent="0.2">
      <c r="A3007"/>
    </row>
    <row r="3008" spans="1:1" x14ac:dyDescent="0.2">
      <c r="A3008"/>
    </row>
    <row r="3009" spans="1:1" x14ac:dyDescent="0.2">
      <c r="A3009"/>
    </row>
    <row r="3010" spans="1:1" x14ac:dyDescent="0.2">
      <c r="A3010"/>
    </row>
    <row r="3011" spans="1:1" x14ac:dyDescent="0.2">
      <c r="A3011"/>
    </row>
    <row r="3012" spans="1:1" x14ac:dyDescent="0.2">
      <c r="A3012"/>
    </row>
    <row r="3013" spans="1:1" x14ac:dyDescent="0.2">
      <c r="A3013"/>
    </row>
    <row r="3014" spans="1:1" x14ac:dyDescent="0.2">
      <c r="A3014"/>
    </row>
    <row r="3015" spans="1:1" x14ac:dyDescent="0.2">
      <c r="A3015"/>
    </row>
    <row r="3016" spans="1:1" x14ac:dyDescent="0.2">
      <c r="A3016"/>
    </row>
    <row r="3017" spans="1:1" x14ac:dyDescent="0.2">
      <c r="A3017"/>
    </row>
    <row r="3018" spans="1:1" x14ac:dyDescent="0.2">
      <c r="A3018"/>
    </row>
    <row r="3019" spans="1:1" x14ac:dyDescent="0.2">
      <c r="A3019"/>
    </row>
    <row r="3020" spans="1:1" x14ac:dyDescent="0.2">
      <c r="A3020"/>
    </row>
    <row r="3021" spans="1:1" x14ac:dyDescent="0.2">
      <c r="A3021"/>
    </row>
    <row r="3022" spans="1:1" x14ac:dyDescent="0.2">
      <c r="A3022"/>
    </row>
    <row r="3023" spans="1:1" x14ac:dyDescent="0.2">
      <c r="A3023"/>
    </row>
    <row r="3024" spans="1:1" x14ac:dyDescent="0.2">
      <c r="A3024"/>
    </row>
    <row r="3025" spans="1:1" x14ac:dyDescent="0.2">
      <c r="A3025"/>
    </row>
    <row r="3026" spans="1:1" x14ac:dyDescent="0.2">
      <c r="A3026"/>
    </row>
    <row r="3027" spans="1:1" x14ac:dyDescent="0.2">
      <c r="A3027"/>
    </row>
    <row r="3028" spans="1:1" x14ac:dyDescent="0.2">
      <c r="A3028"/>
    </row>
    <row r="3029" spans="1:1" x14ac:dyDescent="0.2">
      <c r="A3029"/>
    </row>
    <row r="3030" spans="1:1" x14ac:dyDescent="0.2">
      <c r="A3030"/>
    </row>
    <row r="3031" spans="1:1" x14ac:dyDescent="0.2">
      <c r="A3031"/>
    </row>
    <row r="3032" spans="1:1" x14ac:dyDescent="0.2">
      <c r="A3032"/>
    </row>
    <row r="3033" spans="1:1" x14ac:dyDescent="0.2">
      <c r="A3033"/>
    </row>
    <row r="3034" spans="1:1" x14ac:dyDescent="0.2">
      <c r="A3034"/>
    </row>
    <row r="3035" spans="1:1" x14ac:dyDescent="0.2">
      <c r="A3035"/>
    </row>
    <row r="3036" spans="1:1" x14ac:dyDescent="0.2">
      <c r="A3036"/>
    </row>
    <row r="3037" spans="1:1" x14ac:dyDescent="0.2">
      <c r="A3037"/>
    </row>
    <row r="3038" spans="1:1" x14ac:dyDescent="0.2">
      <c r="A3038"/>
    </row>
    <row r="3039" spans="1:1" x14ac:dyDescent="0.2">
      <c r="A3039"/>
    </row>
    <row r="3040" spans="1:1" x14ac:dyDescent="0.2">
      <c r="A3040"/>
    </row>
    <row r="3041" spans="1:1" x14ac:dyDescent="0.2">
      <c r="A3041"/>
    </row>
    <row r="3042" spans="1:1" x14ac:dyDescent="0.2">
      <c r="A3042"/>
    </row>
    <row r="3043" spans="1:1" x14ac:dyDescent="0.2">
      <c r="A3043"/>
    </row>
    <row r="3044" spans="1:1" x14ac:dyDescent="0.2">
      <c r="A3044"/>
    </row>
    <row r="3045" spans="1:1" x14ac:dyDescent="0.2">
      <c r="A3045"/>
    </row>
    <row r="3046" spans="1:1" x14ac:dyDescent="0.2">
      <c r="A3046"/>
    </row>
    <row r="3047" spans="1:1" x14ac:dyDescent="0.2">
      <c r="A3047"/>
    </row>
    <row r="3048" spans="1:1" x14ac:dyDescent="0.2">
      <c r="A3048"/>
    </row>
    <row r="3049" spans="1:1" x14ac:dyDescent="0.2">
      <c r="A3049"/>
    </row>
    <row r="3050" spans="1:1" x14ac:dyDescent="0.2">
      <c r="A3050"/>
    </row>
    <row r="3051" spans="1:1" x14ac:dyDescent="0.2">
      <c r="A3051"/>
    </row>
    <row r="3052" spans="1:1" x14ac:dyDescent="0.2">
      <c r="A3052"/>
    </row>
    <row r="3053" spans="1:1" x14ac:dyDescent="0.2">
      <c r="A3053"/>
    </row>
    <row r="3054" spans="1:1" x14ac:dyDescent="0.2">
      <c r="A3054"/>
    </row>
    <row r="3055" spans="1:1" x14ac:dyDescent="0.2">
      <c r="A3055"/>
    </row>
    <row r="3056" spans="1:1" x14ac:dyDescent="0.2">
      <c r="A3056"/>
    </row>
    <row r="3057" spans="1:1" x14ac:dyDescent="0.2">
      <c r="A3057"/>
    </row>
    <row r="3058" spans="1:1" x14ac:dyDescent="0.2">
      <c r="A3058"/>
    </row>
    <row r="3059" spans="1:1" x14ac:dyDescent="0.2">
      <c r="A3059"/>
    </row>
    <row r="3060" spans="1:1" x14ac:dyDescent="0.2">
      <c r="A3060"/>
    </row>
    <row r="3061" spans="1:1" x14ac:dyDescent="0.2">
      <c r="A3061"/>
    </row>
    <row r="3062" spans="1:1" x14ac:dyDescent="0.2">
      <c r="A3062"/>
    </row>
    <row r="3063" spans="1:1" x14ac:dyDescent="0.2">
      <c r="A3063"/>
    </row>
    <row r="3064" spans="1:1" x14ac:dyDescent="0.2">
      <c r="A3064"/>
    </row>
    <row r="3065" spans="1:1" x14ac:dyDescent="0.2">
      <c r="A3065"/>
    </row>
    <row r="3066" spans="1:1" x14ac:dyDescent="0.2">
      <c r="A3066"/>
    </row>
    <row r="3067" spans="1:1" x14ac:dyDescent="0.2">
      <c r="A3067"/>
    </row>
    <row r="3068" spans="1:1" x14ac:dyDescent="0.2">
      <c r="A3068"/>
    </row>
    <row r="3069" spans="1:1" x14ac:dyDescent="0.2">
      <c r="A3069"/>
    </row>
    <row r="3070" spans="1:1" x14ac:dyDescent="0.2">
      <c r="A3070"/>
    </row>
    <row r="3071" spans="1:1" x14ac:dyDescent="0.2">
      <c r="A3071"/>
    </row>
    <row r="3072" spans="1:1" x14ac:dyDescent="0.2">
      <c r="A3072"/>
    </row>
    <row r="3073" spans="1:1" x14ac:dyDescent="0.2">
      <c r="A3073"/>
    </row>
    <row r="3074" spans="1:1" x14ac:dyDescent="0.2">
      <c r="A3074"/>
    </row>
    <row r="3075" spans="1:1" x14ac:dyDescent="0.2">
      <c r="A3075"/>
    </row>
    <row r="3076" spans="1:1" x14ac:dyDescent="0.2">
      <c r="A3076"/>
    </row>
    <row r="3077" spans="1:1" x14ac:dyDescent="0.2">
      <c r="A3077"/>
    </row>
    <row r="3078" spans="1:1" x14ac:dyDescent="0.2">
      <c r="A3078"/>
    </row>
    <row r="3079" spans="1:1" x14ac:dyDescent="0.2">
      <c r="A3079"/>
    </row>
    <row r="3080" spans="1:1" x14ac:dyDescent="0.2">
      <c r="A3080"/>
    </row>
    <row r="3081" spans="1:1" x14ac:dyDescent="0.2">
      <c r="A3081"/>
    </row>
    <row r="3082" spans="1:1" x14ac:dyDescent="0.2">
      <c r="A3082"/>
    </row>
    <row r="3083" spans="1:1" x14ac:dyDescent="0.2">
      <c r="A3083"/>
    </row>
    <row r="3084" spans="1:1" x14ac:dyDescent="0.2">
      <c r="A3084"/>
    </row>
    <row r="3085" spans="1:1" x14ac:dyDescent="0.2">
      <c r="A3085"/>
    </row>
    <row r="3086" spans="1:1" x14ac:dyDescent="0.2">
      <c r="A3086"/>
    </row>
    <row r="3087" spans="1:1" x14ac:dyDescent="0.2">
      <c r="A3087"/>
    </row>
    <row r="3088" spans="1:1" x14ac:dyDescent="0.2">
      <c r="A3088"/>
    </row>
    <row r="3089" spans="1:1" x14ac:dyDescent="0.2">
      <c r="A3089"/>
    </row>
    <row r="3090" spans="1:1" x14ac:dyDescent="0.2">
      <c r="A3090"/>
    </row>
    <row r="3091" spans="1:1" x14ac:dyDescent="0.2">
      <c r="A3091"/>
    </row>
    <row r="3092" spans="1:1" x14ac:dyDescent="0.2">
      <c r="A3092"/>
    </row>
    <row r="3093" spans="1:1" x14ac:dyDescent="0.2">
      <c r="A3093"/>
    </row>
    <row r="3094" spans="1:1" x14ac:dyDescent="0.2">
      <c r="A3094"/>
    </row>
    <row r="3095" spans="1:1" x14ac:dyDescent="0.2">
      <c r="A3095"/>
    </row>
    <row r="3096" spans="1:1" x14ac:dyDescent="0.2">
      <c r="A3096"/>
    </row>
    <row r="3097" spans="1:1" x14ac:dyDescent="0.2">
      <c r="A3097"/>
    </row>
    <row r="3098" spans="1:1" x14ac:dyDescent="0.2">
      <c r="A3098"/>
    </row>
    <row r="3099" spans="1:1" x14ac:dyDescent="0.2">
      <c r="A3099"/>
    </row>
    <row r="3100" spans="1:1" x14ac:dyDescent="0.2">
      <c r="A3100"/>
    </row>
    <row r="3101" spans="1:1" x14ac:dyDescent="0.2">
      <c r="A3101"/>
    </row>
    <row r="3102" spans="1:1" x14ac:dyDescent="0.2">
      <c r="A3102"/>
    </row>
    <row r="3103" spans="1:1" x14ac:dyDescent="0.2">
      <c r="A3103"/>
    </row>
    <row r="3104" spans="1:1" x14ac:dyDescent="0.2">
      <c r="A3104"/>
    </row>
    <row r="3105" spans="1:1" x14ac:dyDescent="0.2">
      <c r="A3105"/>
    </row>
    <row r="3106" spans="1:1" x14ac:dyDescent="0.2">
      <c r="A3106"/>
    </row>
    <row r="3107" spans="1:1" x14ac:dyDescent="0.2">
      <c r="A3107"/>
    </row>
    <row r="3108" spans="1:1" x14ac:dyDescent="0.2">
      <c r="A3108"/>
    </row>
    <row r="3109" spans="1:1" x14ac:dyDescent="0.2">
      <c r="A3109"/>
    </row>
    <row r="3110" spans="1:1" x14ac:dyDescent="0.2">
      <c r="A3110"/>
    </row>
    <row r="3111" spans="1:1" x14ac:dyDescent="0.2">
      <c r="A3111"/>
    </row>
    <row r="3112" spans="1:1" x14ac:dyDescent="0.2">
      <c r="A3112"/>
    </row>
    <row r="3113" spans="1:1" x14ac:dyDescent="0.2">
      <c r="A3113"/>
    </row>
    <row r="3114" spans="1:1" x14ac:dyDescent="0.2">
      <c r="A3114"/>
    </row>
    <row r="3115" spans="1:1" x14ac:dyDescent="0.2">
      <c r="A3115"/>
    </row>
    <row r="3116" spans="1:1" x14ac:dyDescent="0.2">
      <c r="A3116"/>
    </row>
    <row r="3117" spans="1:1" x14ac:dyDescent="0.2">
      <c r="A3117"/>
    </row>
    <row r="3118" spans="1:1" x14ac:dyDescent="0.2">
      <c r="A3118"/>
    </row>
    <row r="3119" spans="1:1" x14ac:dyDescent="0.2">
      <c r="A3119"/>
    </row>
    <row r="3120" spans="1:1" x14ac:dyDescent="0.2">
      <c r="A3120"/>
    </row>
    <row r="3121" spans="1:1" x14ac:dyDescent="0.2">
      <c r="A3121"/>
    </row>
    <row r="3122" spans="1:1" x14ac:dyDescent="0.2">
      <c r="A3122"/>
    </row>
    <row r="3123" spans="1:1" x14ac:dyDescent="0.2">
      <c r="A3123"/>
    </row>
    <row r="3124" spans="1:1" x14ac:dyDescent="0.2">
      <c r="A3124"/>
    </row>
    <row r="3125" spans="1:1" x14ac:dyDescent="0.2">
      <c r="A3125"/>
    </row>
    <row r="3126" spans="1:1" x14ac:dyDescent="0.2">
      <c r="A3126"/>
    </row>
    <row r="3127" spans="1:1" x14ac:dyDescent="0.2">
      <c r="A3127"/>
    </row>
    <row r="3128" spans="1:1" x14ac:dyDescent="0.2">
      <c r="A3128"/>
    </row>
    <row r="3129" spans="1:1" x14ac:dyDescent="0.2">
      <c r="A3129"/>
    </row>
    <row r="3130" spans="1:1" x14ac:dyDescent="0.2">
      <c r="A3130"/>
    </row>
    <row r="3131" spans="1:1" x14ac:dyDescent="0.2">
      <c r="A3131"/>
    </row>
    <row r="3132" spans="1:1" x14ac:dyDescent="0.2">
      <c r="A3132"/>
    </row>
    <row r="3133" spans="1:1" x14ac:dyDescent="0.2">
      <c r="A3133"/>
    </row>
    <row r="3134" spans="1:1" x14ac:dyDescent="0.2">
      <c r="A3134"/>
    </row>
    <row r="3135" spans="1:1" x14ac:dyDescent="0.2">
      <c r="A3135"/>
    </row>
    <row r="3136" spans="1:1" x14ac:dyDescent="0.2">
      <c r="A3136"/>
    </row>
    <row r="3137" spans="1:1" x14ac:dyDescent="0.2">
      <c r="A3137"/>
    </row>
    <row r="3138" spans="1:1" x14ac:dyDescent="0.2">
      <c r="A3138"/>
    </row>
    <row r="3139" spans="1:1" x14ac:dyDescent="0.2">
      <c r="A3139"/>
    </row>
    <row r="3140" spans="1:1" x14ac:dyDescent="0.2">
      <c r="A3140"/>
    </row>
    <row r="3141" spans="1:1" x14ac:dyDescent="0.2">
      <c r="A3141"/>
    </row>
    <row r="3142" spans="1:1" x14ac:dyDescent="0.2">
      <c r="A3142"/>
    </row>
    <row r="3143" spans="1:1" x14ac:dyDescent="0.2">
      <c r="A3143"/>
    </row>
    <row r="3144" spans="1:1" x14ac:dyDescent="0.2">
      <c r="A3144"/>
    </row>
    <row r="3145" spans="1:1" x14ac:dyDescent="0.2">
      <c r="A3145"/>
    </row>
    <row r="3146" spans="1:1" x14ac:dyDescent="0.2">
      <c r="A3146"/>
    </row>
    <row r="3147" spans="1:1" x14ac:dyDescent="0.2">
      <c r="A3147"/>
    </row>
    <row r="3148" spans="1:1" x14ac:dyDescent="0.2">
      <c r="A3148"/>
    </row>
    <row r="3149" spans="1:1" x14ac:dyDescent="0.2">
      <c r="A3149"/>
    </row>
    <row r="3150" spans="1:1" x14ac:dyDescent="0.2">
      <c r="A3150"/>
    </row>
    <row r="3151" spans="1:1" x14ac:dyDescent="0.2">
      <c r="A3151"/>
    </row>
    <row r="3152" spans="1:1" x14ac:dyDescent="0.2">
      <c r="A3152"/>
    </row>
    <row r="3153" spans="1:1" x14ac:dyDescent="0.2">
      <c r="A3153"/>
    </row>
    <row r="3154" spans="1:1" x14ac:dyDescent="0.2">
      <c r="A3154"/>
    </row>
    <row r="3155" spans="1:1" x14ac:dyDescent="0.2">
      <c r="A3155"/>
    </row>
    <row r="3156" spans="1:1" x14ac:dyDescent="0.2">
      <c r="A3156"/>
    </row>
    <row r="3157" spans="1:1" x14ac:dyDescent="0.2">
      <c r="A3157"/>
    </row>
    <row r="3158" spans="1:1" x14ac:dyDescent="0.2">
      <c r="A3158"/>
    </row>
    <row r="3159" spans="1:1" x14ac:dyDescent="0.2">
      <c r="A3159"/>
    </row>
    <row r="3160" spans="1:1" x14ac:dyDescent="0.2">
      <c r="A3160"/>
    </row>
    <row r="3161" spans="1:1" x14ac:dyDescent="0.2">
      <c r="A3161"/>
    </row>
    <row r="3162" spans="1:1" x14ac:dyDescent="0.2">
      <c r="A3162"/>
    </row>
    <row r="3163" spans="1:1" x14ac:dyDescent="0.2">
      <c r="A3163"/>
    </row>
    <row r="3164" spans="1:1" x14ac:dyDescent="0.2">
      <c r="A3164"/>
    </row>
    <row r="3165" spans="1:1" x14ac:dyDescent="0.2">
      <c r="A3165"/>
    </row>
    <row r="3166" spans="1:1" x14ac:dyDescent="0.2">
      <c r="A3166"/>
    </row>
    <row r="3167" spans="1:1" x14ac:dyDescent="0.2">
      <c r="A3167"/>
    </row>
    <row r="3168" spans="1:1" x14ac:dyDescent="0.2">
      <c r="A3168"/>
    </row>
    <row r="3169" spans="1:1" x14ac:dyDescent="0.2">
      <c r="A3169"/>
    </row>
    <row r="3170" spans="1:1" x14ac:dyDescent="0.2">
      <c r="A3170"/>
    </row>
    <row r="3171" spans="1:1" x14ac:dyDescent="0.2">
      <c r="A3171"/>
    </row>
    <row r="3172" spans="1:1" x14ac:dyDescent="0.2">
      <c r="A3172"/>
    </row>
    <row r="3173" spans="1:1" x14ac:dyDescent="0.2">
      <c r="A3173"/>
    </row>
    <row r="3174" spans="1:1" x14ac:dyDescent="0.2">
      <c r="A3174"/>
    </row>
    <row r="3175" spans="1:1" x14ac:dyDescent="0.2">
      <c r="A3175"/>
    </row>
    <row r="3176" spans="1:1" x14ac:dyDescent="0.2">
      <c r="A3176"/>
    </row>
    <row r="3177" spans="1:1" x14ac:dyDescent="0.2">
      <c r="A3177"/>
    </row>
    <row r="3178" spans="1:1" x14ac:dyDescent="0.2">
      <c r="A3178"/>
    </row>
    <row r="3179" spans="1:1" x14ac:dyDescent="0.2">
      <c r="A3179"/>
    </row>
    <row r="3180" spans="1:1" x14ac:dyDescent="0.2">
      <c r="A3180"/>
    </row>
    <row r="3181" spans="1:1" x14ac:dyDescent="0.2">
      <c r="A3181"/>
    </row>
    <row r="3182" spans="1:1" x14ac:dyDescent="0.2">
      <c r="A3182"/>
    </row>
    <row r="3183" spans="1:1" x14ac:dyDescent="0.2">
      <c r="A3183"/>
    </row>
    <row r="3184" spans="1:1" x14ac:dyDescent="0.2">
      <c r="A3184"/>
    </row>
    <row r="3185" spans="1:1" x14ac:dyDescent="0.2">
      <c r="A3185"/>
    </row>
    <row r="3186" spans="1:1" x14ac:dyDescent="0.2">
      <c r="A3186"/>
    </row>
    <row r="3187" spans="1:1" x14ac:dyDescent="0.2">
      <c r="A3187"/>
    </row>
    <row r="3188" spans="1:1" x14ac:dyDescent="0.2">
      <c r="A3188"/>
    </row>
    <row r="3189" spans="1:1" x14ac:dyDescent="0.2">
      <c r="A3189"/>
    </row>
    <row r="3190" spans="1:1" x14ac:dyDescent="0.2">
      <c r="A3190"/>
    </row>
    <row r="3191" spans="1:1" x14ac:dyDescent="0.2">
      <c r="A3191"/>
    </row>
    <row r="3192" spans="1:1" x14ac:dyDescent="0.2">
      <c r="A3192"/>
    </row>
    <row r="3193" spans="1:1" x14ac:dyDescent="0.2">
      <c r="A3193"/>
    </row>
    <row r="3194" spans="1:1" x14ac:dyDescent="0.2">
      <c r="A3194"/>
    </row>
    <row r="3195" spans="1:1" x14ac:dyDescent="0.2">
      <c r="A3195"/>
    </row>
    <row r="3196" spans="1:1" x14ac:dyDescent="0.2">
      <c r="A3196"/>
    </row>
    <row r="3197" spans="1:1" x14ac:dyDescent="0.2">
      <c r="A3197"/>
    </row>
    <row r="3198" spans="1:1" x14ac:dyDescent="0.2">
      <c r="A3198"/>
    </row>
    <row r="3199" spans="1:1" x14ac:dyDescent="0.2">
      <c r="A3199"/>
    </row>
    <row r="3200" spans="1:1" x14ac:dyDescent="0.2">
      <c r="A3200"/>
    </row>
    <row r="3201" spans="1:1" x14ac:dyDescent="0.2">
      <c r="A3201"/>
    </row>
    <row r="3202" spans="1:1" x14ac:dyDescent="0.2">
      <c r="A3202"/>
    </row>
    <row r="3203" spans="1:1" x14ac:dyDescent="0.2">
      <c r="A3203"/>
    </row>
    <row r="3204" spans="1:1" x14ac:dyDescent="0.2">
      <c r="A3204"/>
    </row>
    <row r="3205" spans="1:1" x14ac:dyDescent="0.2">
      <c r="A3205"/>
    </row>
    <row r="3206" spans="1:1" x14ac:dyDescent="0.2">
      <c r="A3206"/>
    </row>
    <row r="3207" spans="1:1" x14ac:dyDescent="0.2">
      <c r="A3207"/>
    </row>
    <row r="3208" spans="1:1" x14ac:dyDescent="0.2">
      <c r="A3208"/>
    </row>
    <row r="3209" spans="1:1" x14ac:dyDescent="0.2">
      <c r="A3209"/>
    </row>
    <row r="3210" spans="1:1" x14ac:dyDescent="0.2">
      <c r="A3210"/>
    </row>
    <row r="3211" spans="1:1" x14ac:dyDescent="0.2">
      <c r="A3211"/>
    </row>
    <row r="3212" spans="1:1" x14ac:dyDescent="0.2">
      <c r="A3212"/>
    </row>
    <row r="3213" spans="1:1" x14ac:dyDescent="0.2">
      <c r="A3213"/>
    </row>
    <row r="3214" spans="1:1" x14ac:dyDescent="0.2">
      <c r="A3214"/>
    </row>
    <row r="3215" spans="1:1" x14ac:dyDescent="0.2">
      <c r="A3215"/>
    </row>
    <row r="3216" spans="1:1" x14ac:dyDescent="0.2">
      <c r="A3216"/>
    </row>
    <row r="3217" spans="1:1" x14ac:dyDescent="0.2">
      <c r="A3217"/>
    </row>
    <row r="3218" spans="1:1" x14ac:dyDescent="0.2">
      <c r="A3218"/>
    </row>
    <row r="3219" spans="1:1" x14ac:dyDescent="0.2">
      <c r="A3219"/>
    </row>
    <row r="3220" spans="1:1" x14ac:dyDescent="0.2">
      <c r="A3220"/>
    </row>
    <row r="3221" spans="1:1" x14ac:dyDescent="0.2">
      <c r="A3221"/>
    </row>
    <row r="3222" spans="1:1" x14ac:dyDescent="0.2">
      <c r="A3222"/>
    </row>
    <row r="3223" spans="1:1" x14ac:dyDescent="0.2">
      <c r="A3223"/>
    </row>
    <row r="3224" spans="1:1" x14ac:dyDescent="0.2">
      <c r="A3224"/>
    </row>
    <row r="3225" spans="1:1" x14ac:dyDescent="0.2">
      <c r="A3225"/>
    </row>
    <row r="3226" spans="1:1" x14ac:dyDescent="0.2">
      <c r="A3226"/>
    </row>
  </sheetData>
  <sortState xmlns:xlrd2="http://schemas.microsoft.com/office/spreadsheetml/2017/richdata2" ref="J2:L50">
    <sortCondition ref="L2:L50"/>
  </sortState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17</vt:i4>
      </vt:variant>
    </vt:vector>
  </HeadingPairs>
  <TitlesOfParts>
    <vt:vector size="19" baseType="lpstr">
      <vt:lpstr>Import</vt:lpstr>
      <vt:lpstr>Analysis</vt:lpstr>
      <vt:lpstr>Import!ExternalData_1</vt:lpstr>
      <vt:lpstr>Import!ExternalData_10</vt:lpstr>
      <vt:lpstr>Import!ExternalData_11</vt:lpstr>
      <vt:lpstr>Import!ExternalData_12</vt:lpstr>
      <vt:lpstr>Import!ExternalData_13</vt:lpstr>
      <vt:lpstr>Import!ExternalData_14</vt:lpstr>
      <vt:lpstr>Import!ExternalData_15</vt:lpstr>
      <vt:lpstr>Import!ExternalData_16</vt:lpstr>
      <vt:lpstr>Import!ExternalData_17</vt:lpstr>
      <vt:lpstr>Import!ExternalData_2</vt:lpstr>
      <vt:lpstr>Import!ExternalData_3</vt:lpstr>
      <vt:lpstr>Import!ExternalData_4</vt:lpstr>
      <vt:lpstr>Import!ExternalData_5</vt:lpstr>
      <vt:lpstr>Import!ExternalData_6</vt:lpstr>
      <vt:lpstr>Import!ExternalData_7</vt:lpstr>
      <vt:lpstr>Import!ExternalData_8</vt:lpstr>
      <vt:lpstr>Import!ExternalData_9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</dc:creator>
  <dc:description/>
  <cp:lastModifiedBy>Joon Wei Kang</cp:lastModifiedBy>
  <cp:revision>0</cp:revision>
  <dcterms:created xsi:type="dcterms:W3CDTF">2024-03-14T14:20:18Z</dcterms:created>
  <dcterms:modified xsi:type="dcterms:W3CDTF">2024-04-28T07:05:24Z</dcterms:modified>
</cp:coreProperties>
</file>